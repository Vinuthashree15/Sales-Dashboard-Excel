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hidePivotFieldList="1" defaultThemeVersion="166925"/>
  <mc:AlternateContent xmlns:mc="http://schemas.openxmlformats.org/markup-compatibility/2006">
    <mc:Choice Requires="x15">
      <x15ac:absPath xmlns:x15ac="http://schemas.microsoft.com/office/spreadsheetml/2010/11/ac" url="C:\Users\DELL\Downloads\Powerbi\PROJECT\"/>
    </mc:Choice>
  </mc:AlternateContent>
  <xr:revisionPtr revIDLastSave="0" documentId="13_ncr:1_{99E7CBD6-1660-4CE0-B16D-555078E4935D}" xr6:coauthVersionLast="47" xr6:coauthVersionMax="47" xr10:uidLastSave="{00000000-0000-0000-0000-000000000000}"/>
  <bookViews>
    <workbookView xWindow="-110" yWindow="-110" windowWidth="19420" windowHeight="10420" activeTab="2" xr2:uid="{3242FDF4-BF85-4A92-8398-ED2E45A9FCAF}"/>
  </bookViews>
  <sheets>
    <sheet name="DATA" sheetId="1" r:id="rId1"/>
    <sheet name="PIVOT TABLE " sheetId="4" r:id="rId2"/>
    <sheet name="DASHBOARD " sheetId="3" r:id="rId3"/>
  </sheets>
  <definedNames>
    <definedName name="_xlnm._FilterDatabase" localSheetId="0" hidden="1">DATA!$A$1:$W$501</definedName>
    <definedName name="_xlchart.v2.0" hidden="1">'PIVOT TABLE '!$N$5:$N$21</definedName>
    <definedName name="_xlchart.v2.1" hidden="1">'PIVOT TABLE '!$O$4</definedName>
    <definedName name="_xlchart.v2.2" hidden="1">'PIVOT TABLE '!$O$5:$O$21</definedName>
    <definedName name="_xlchart.v5.3" hidden="1">'PIVOT TABLE '!$AA$4</definedName>
    <definedName name="_xlchart.v5.4" hidden="1">'PIVOT TABLE '!$AA$5:$AA$41</definedName>
    <definedName name="_xlchart.v5.5" hidden="1">'PIVOT TABLE '!$Z$4</definedName>
    <definedName name="_xlchart.v5.6" hidden="1">'PIVOT TABLE '!$Z$5:$Z$41</definedName>
    <definedName name="Slicer_Category">#N/A</definedName>
    <definedName name="Slicer_Month">#N/A</definedName>
    <definedName name="Slicer_Year">#N/A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501" i="1" l="1"/>
  <c r="E500" i="1"/>
  <c r="E499" i="1"/>
  <c r="E498" i="1"/>
  <c r="E497" i="1"/>
  <c r="E496" i="1"/>
  <c r="E495" i="1"/>
  <c r="E494" i="1"/>
  <c r="E493" i="1"/>
  <c r="E492" i="1"/>
  <c r="E491" i="1"/>
  <c r="E490" i="1"/>
  <c r="E489" i="1"/>
  <c r="E488" i="1"/>
  <c r="E487" i="1"/>
  <c r="E486" i="1"/>
  <c r="E485" i="1"/>
  <c r="E484" i="1"/>
  <c r="E483" i="1"/>
  <c r="E482" i="1"/>
  <c r="E481" i="1"/>
  <c r="E480" i="1"/>
  <c r="E479" i="1"/>
  <c r="E478" i="1"/>
  <c r="E477" i="1"/>
  <c r="E476" i="1"/>
  <c r="E475" i="1"/>
  <c r="E474" i="1"/>
  <c r="E473" i="1"/>
  <c r="E472" i="1"/>
  <c r="E471" i="1"/>
  <c r="E470" i="1"/>
  <c r="E469" i="1"/>
  <c r="E468" i="1"/>
  <c r="E467" i="1"/>
  <c r="E466" i="1"/>
  <c r="E465" i="1"/>
  <c r="E464" i="1"/>
  <c r="E463" i="1"/>
  <c r="E462" i="1"/>
  <c r="E461" i="1"/>
  <c r="E460" i="1"/>
  <c r="E459" i="1"/>
  <c r="E458" i="1"/>
  <c r="E457" i="1"/>
  <c r="E456" i="1"/>
  <c r="E455" i="1"/>
  <c r="E454" i="1"/>
  <c r="E453" i="1"/>
  <c r="E452" i="1"/>
  <c r="E451" i="1"/>
  <c r="E450" i="1"/>
  <c r="E449" i="1"/>
  <c r="E448" i="1"/>
  <c r="E447" i="1"/>
  <c r="E446" i="1"/>
  <c r="E445" i="1"/>
  <c r="E444" i="1"/>
  <c r="E443" i="1"/>
  <c r="E442" i="1"/>
  <c r="E441" i="1"/>
  <c r="E440" i="1"/>
  <c r="E439" i="1"/>
  <c r="E438" i="1"/>
  <c r="E437" i="1"/>
  <c r="E436" i="1"/>
  <c r="E435" i="1"/>
  <c r="E434" i="1"/>
  <c r="E433" i="1"/>
  <c r="E432" i="1"/>
  <c r="E431" i="1"/>
  <c r="E430" i="1"/>
  <c r="E429" i="1"/>
  <c r="E428" i="1"/>
  <c r="E427" i="1"/>
  <c r="E426" i="1"/>
  <c r="E425" i="1"/>
  <c r="E424" i="1"/>
  <c r="E423" i="1"/>
  <c r="E422" i="1"/>
  <c r="E421" i="1"/>
  <c r="E420" i="1"/>
  <c r="E419" i="1"/>
  <c r="E418" i="1"/>
  <c r="E417" i="1"/>
  <c r="E416" i="1"/>
  <c r="E415" i="1"/>
  <c r="E414" i="1"/>
  <c r="E413" i="1"/>
  <c r="E412" i="1"/>
  <c r="E411" i="1"/>
  <c r="E410" i="1"/>
  <c r="E409" i="1"/>
  <c r="E408" i="1"/>
  <c r="E407" i="1"/>
  <c r="E406" i="1"/>
  <c r="E405" i="1"/>
  <c r="E404" i="1"/>
  <c r="E403" i="1"/>
  <c r="E402" i="1"/>
  <c r="E401" i="1"/>
  <c r="E400" i="1"/>
  <c r="E399" i="1"/>
  <c r="E398" i="1"/>
  <c r="E397" i="1"/>
  <c r="E396" i="1"/>
  <c r="E395" i="1"/>
  <c r="E394" i="1"/>
  <c r="E393" i="1"/>
  <c r="E392" i="1"/>
  <c r="E391" i="1"/>
  <c r="E390" i="1"/>
  <c r="E389" i="1"/>
  <c r="E388" i="1"/>
  <c r="E387" i="1"/>
  <c r="E386" i="1"/>
  <c r="E385" i="1"/>
  <c r="E384" i="1"/>
  <c r="E383" i="1"/>
  <c r="E382" i="1"/>
  <c r="E381" i="1"/>
  <c r="E380" i="1"/>
  <c r="E379" i="1"/>
  <c r="E378" i="1"/>
  <c r="E377" i="1"/>
  <c r="E376" i="1"/>
  <c r="E375" i="1"/>
  <c r="E374" i="1"/>
  <c r="E373" i="1"/>
  <c r="E372" i="1"/>
  <c r="E371" i="1"/>
  <c r="E370" i="1"/>
  <c r="E369" i="1"/>
  <c r="E368" i="1"/>
  <c r="E367" i="1"/>
  <c r="E366" i="1"/>
  <c r="E365" i="1"/>
  <c r="E364" i="1"/>
  <c r="E363" i="1"/>
  <c r="E362" i="1"/>
  <c r="E361" i="1"/>
  <c r="E360" i="1"/>
  <c r="E359" i="1"/>
  <c r="E358" i="1"/>
  <c r="E357" i="1"/>
  <c r="E356" i="1"/>
  <c r="E355" i="1"/>
  <c r="E354" i="1"/>
  <c r="E353" i="1"/>
  <c r="E352" i="1"/>
  <c r="E351" i="1"/>
  <c r="E350" i="1"/>
  <c r="E349" i="1"/>
  <c r="E348" i="1"/>
  <c r="E347" i="1"/>
  <c r="E346" i="1"/>
  <c r="E345" i="1"/>
  <c r="E344" i="1"/>
  <c r="E343" i="1"/>
  <c r="E342" i="1"/>
  <c r="E341" i="1"/>
  <c r="E340" i="1"/>
  <c r="E339" i="1"/>
  <c r="E338" i="1"/>
  <c r="E337" i="1"/>
  <c r="E336" i="1"/>
  <c r="E335" i="1"/>
  <c r="E334" i="1"/>
  <c r="E333" i="1"/>
  <c r="E332" i="1"/>
  <c r="E331" i="1"/>
  <c r="E330" i="1"/>
  <c r="E329" i="1"/>
  <c r="E328" i="1"/>
  <c r="E327" i="1"/>
  <c r="E326" i="1"/>
  <c r="E325" i="1"/>
  <c r="E324" i="1"/>
  <c r="E323" i="1"/>
  <c r="E322" i="1"/>
  <c r="E321" i="1"/>
  <c r="E320" i="1"/>
  <c r="E319" i="1"/>
  <c r="E318" i="1"/>
  <c r="E317" i="1"/>
  <c r="E316" i="1"/>
  <c r="E315" i="1"/>
  <c r="E314" i="1"/>
  <c r="E313" i="1"/>
  <c r="E312" i="1"/>
  <c r="E311" i="1"/>
  <c r="E310" i="1"/>
  <c r="E309" i="1"/>
  <c r="E308" i="1"/>
  <c r="E307" i="1"/>
  <c r="E306" i="1"/>
  <c r="E305" i="1"/>
  <c r="E304" i="1"/>
  <c r="E303" i="1"/>
  <c r="E302" i="1"/>
  <c r="E301" i="1"/>
  <c r="E300" i="1"/>
  <c r="E299" i="1"/>
  <c r="E298" i="1"/>
  <c r="E297" i="1"/>
  <c r="E296" i="1"/>
  <c r="E295" i="1"/>
  <c r="E294" i="1"/>
  <c r="E293" i="1"/>
  <c r="E292" i="1"/>
  <c r="E291" i="1"/>
  <c r="E290" i="1"/>
  <c r="E289" i="1"/>
  <c r="E288" i="1"/>
  <c r="E287" i="1"/>
  <c r="E286" i="1"/>
  <c r="E285" i="1"/>
  <c r="E284" i="1"/>
  <c r="E283" i="1"/>
  <c r="E282" i="1"/>
  <c r="E281" i="1"/>
  <c r="E280" i="1"/>
  <c r="E279" i="1"/>
  <c r="E278" i="1"/>
  <c r="E277" i="1"/>
  <c r="E276" i="1"/>
  <c r="E275" i="1"/>
  <c r="E274" i="1"/>
  <c r="E273" i="1"/>
  <c r="E272" i="1"/>
  <c r="E271" i="1"/>
  <c r="E270" i="1"/>
  <c r="E269" i="1"/>
  <c r="E268" i="1"/>
  <c r="E267" i="1"/>
  <c r="E266" i="1"/>
  <c r="E265" i="1"/>
  <c r="E264" i="1"/>
  <c r="E263" i="1"/>
  <c r="E262" i="1"/>
  <c r="E261" i="1"/>
  <c r="E260" i="1"/>
  <c r="E259" i="1"/>
  <c r="E258" i="1"/>
  <c r="E257" i="1"/>
  <c r="E256" i="1"/>
  <c r="E255" i="1"/>
  <c r="E254" i="1"/>
  <c r="E253" i="1"/>
  <c r="E252" i="1"/>
  <c r="E251" i="1"/>
  <c r="E250" i="1"/>
  <c r="E249" i="1"/>
  <c r="E248" i="1"/>
  <c r="E247" i="1"/>
  <c r="E246" i="1"/>
  <c r="E245" i="1"/>
  <c r="E244" i="1"/>
  <c r="E243" i="1"/>
  <c r="E242" i="1"/>
  <c r="E241" i="1"/>
  <c r="E240" i="1"/>
  <c r="E239" i="1"/>
  <c r="E238" i="1"/>
  <c r="E237" i="1"/>
  <c r="E236" i="1"/>
  <c r="E235" i="1"/>
  <c r="E234" i="1"/>
  <c r="E233" i="1"/>
  <c r="E232" i="1"/>
  <c r="E231" i="1"/>
  <c r="E230" i="1"/>
  <c r="E229" i="1"/>
  <c r="E228" i="1"/>
  <c r="E227" i="1"/>
  <c r="E226" i="1"/>
  <c r="E225" i="1"/>
  <c r="E224" i="1"/>
  <c r="E223" i="1"/>
  <c r="E222" i="1"/>
  <c r="E221" i="1"/>
  <c r="E220" i="1"/>
  <c r="E219" i="1"/>
  <c r="E218" i="1"/>
  <c r="E217" i="1"/>
  <c r="E216" i="1"/>
  <c r="E215" i="1"/>
  <c r="E214" i="1"/>
  <c r="E213" i="1"/>
  <c r="E212" i="1"/>
  <c r="E211" i="1"/>
  <c r="E210" i="1"/>
  <c r="E209" i="1"/>
  <c r="E208" i="1"/>
  <c r="E207" i="1"/>
  <c r="E206" i="1"/>
  <c r="E205" i="1"/>
  <c r="E204" i="1"/>
  <c r="E203" i="1"/>
  <c r="E202" i="1"/>
  <c r="E201" i="1"/>
  <c r="E200" i="1"/>
  <c r="E199" i="1"/>
  <c r="E198" i="1"/>
  <c r="E197" i="1"/>
  <c r="E196" i="1"/>
  <c r="E195" i="1"/>
  <c r="E194" i="1"/>
  <c r="E193" i="1"/>
  <c r="E192" i="1"/>
  <c r="E191" i="1"/>
  <c r="E190" i="1"/>
  <c r="E189" i="1"/>
  <c r="E188" i="1"/>
  <c r="E187" i="1"/>
  <c r="E186" i="1"/>
  <c r="E185" i="1"/>
  <c r="E184" i="1"/>
  <c r="E183" i="1"/>
  <c r="E182" i="1"/>
  <c r="E181" i="1"/>
  <c r="E180" i="1"/>
  <c r="E179" i="1"/>
  <c r="E178" i="1"/>
  <c r="E177" i="1"/>
  <c r="E176" i="1"/>
  <c r="E175" i="1"/>
  <c r="E174" i="1"/>
  <c r="E173" i="1"/>
  <c r="E172" i="1"/>
  <c r="E171" i="1"/>
  <c r="E170" i="1"/>
  <c r="E169" i="1"/>
  <c r="E168" i="1"/>
  <c r="E167" i="1"/>
  <c r="E166" i="1"/>
  <c r="E165" i="1"/>
  <c r="E164" i="1"/>
  <c r="E163" i="1"/>
  <c r="E162" i="1"/>
  <c r="E161" i="1"/>
  <c r="E160" i="1"/>
  <c r="E159" i="1"/>
  <c r="E158" i="1"/>
  <c r="E157" i="1"/>
  <c r="E156" i="1"/>
  <c r="E155" i="1"/>
  <c r="E154" i="1"/>
  <c r="E153" i="1"/>
  <c r="E152" i="1"/>
  <c r="E151" i="1"/>
  <c r="E150" i="1"/>
  <c r="E149" i="1"/>
  <c r="E148" i="1"/>
  <c r="E147" i="1"/>
  <c r="E146" i="1"/>
  <c r="E145" i="1"/>
  <c r="E144" i="1"/>
  <c r="E143" i="1"/>
  <c r="E142" i="1"/>
  <c r="E141" i="1"/>
  <c r="E140" i="1"/>
  <c r="E139" i="1"/>
  <c r="E138" i="1"/>
  <c r="E137" i="1"/>
  <c r="E136" i="1"/>
  <c r="E135" i="1"/>
  <c r="E134" i="1"/>
  <c r="E133" i="1"/>
  <c r="E132" i="1"/>
  <c r="E131" i="1"/>
  <c r="E130" i="1"/>
  <c r="E129" i="1"/>
  <c r="E128" i="1"/>
  <c r="E127" i="1"/>
  <c r="E126" i="1"/>
  <c r="E125" i="1"/>
  <c r="E124" i="1"/>
  <c r="E123" i="1"/>
  <c r="E122" i="1"/>
  <c r="E121" i="1"/>
  <c r="E120" i="1"/>
  <c r="E119" i="1"/>
  <c r="E118" i="1"/>
  <c r="E117" i="1"/>
  <c r="E116" i="1"/>
  <c r="E115" i="1"/>
  <c r="E114" i="1"/>
  <c r="E113" i="1"/>
  <c r="E112" i="1"/>
  <c r="E111" i="1"/>
  <c r="E110" i="1"/>
  <c r="E109" i="1"/>
  <c r="E108" i="1"/>
  <c r="E107" i="1"/>
  <c r="E106" i="1"/>
  <c r="E105" i="1"/>
  <c r="E104" i="1"/>
  <c r="E103" i="1"/>
  <c r="E102" i="1"/>
  <c r="E101" i="1"/>
  <c r="E100" i="1"/>
  <c r="E99" i="1"/>
  <c r="E98" i="1"/>
  <c r="E97" i="1"/>
  <c r="E96" i="1"/>
  <c r="E95" i="1"/>
  <c r="E94" i="1"/>
  <c r="E93" i="1"/>
  <c r="E92" i="1"/>
  <c r="E91" i="1"/>
  <c r="E90" i="1"/>
  <c r="E89" i="1"/>
  <c r="E88" i="1"/>
  <c r="E87" i="1"/>
  <c r="E86" i="1"/>
  <c r="E85" i="1"/>
  <c r="E84" i="1"/>
  <c r="E83" i="1"/>
  <c r="E82" i="1"/>
  <c r="E81" i="1"/>
  <c r="E80" i="1"/>
  <c r="E79" i="1"/>
  <c r="E78" i="1"/>
  <c r="E77" i="1"/>
  <c r="E76" i="1"/>
  <c r="E75" i="1"/>
  <c r="E74" i="1"/>
  <c r="E73" i="1"/>
  <c r="E72" i="1"/>
  <c r="E71" i="1"/>
  <c r="E70" i="1"/>
  <c r="E69" i="1"/>
  <c r="E68" i="1"/>
  <c r="E67" i="1"/>
  <c r="E66" i="1"/>
  <c r="E65" i="1"/>
  <c r="E64" i="1"/>
  <c r="E63" i="1"/>
  <c r="E62" i="1"/>
  <c r="E61" i="1"/>
  <c r="E60" i="1"/>
  <c r="E59" i="1"/>
  <c r="E58" i="1"/>
  <c r="E57" i="1"/>
  <c r="E56" i="1"/>
  <c r="E55" i="1"/>
  <c r="E54" i="1"/>
  <c r="E53" i="1"/>
  <c r="E52" i="1"/>
  <c r="E51" i="1"/>
  <c r="E50" i="1"/>
  <c r="E49" i="1"/>
  <c r="E48" i="1"/>
  <c r="E47" i="1"/>
  <c r="E46" i="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6" i="1"/>
  <c r="E5" i="1"/>
  <c r="E4" i="1"/>
  <c r="E3" i="1"/>
  <c r="E2" i="1"/>
  <c r="Z6" i="4"/>
  <c r="Z7" i="4"/>
  <c r="Z8" i="4"/>
  <c r="Z9" i="4"/>
  <c r="Z10" i="4"/>
  <c r="Z11" i="4"/>
  <c r="Z12" i="4"/>
  <c r="Z13" i="4"/>
  <c r="Z14" i="4"/>
  <c r="Z15" i="4"/>
  <c r="Z16" i="4"/>
  <c r="Z17" i="4"/>
  <c r="Z18" i="4"/>
  <c r="Z19" i="4"/>
  <c r="Z20" i="4"/>
  <c r="Z21" i="4"/>
  <c r="Z22" i="4"/>
  <c r="Z23" i="4"/>
  <c r="Z24" i="4"/>
  <c r="Z25" i="4"/>
  <c r="Z26" i="4"/>
  <c r="Z27" i="4"/>
  <c r="Z28" i="4"/>
  <c r="Z29" i="4"/>
  <c r="Z30" i="4"/>
  <c r="Z31" i="4"/>
  <c r="Z32" i="4"/>
  <c r="Z33" i="4"/>
  <c r="Z34" i="4"/>
  <c r="Z35" i="4"/>
  <c r="Z36" i="4"/>
  <c r="Z37" i="4"/>
  <c r="Z38" i="4"/>
  <c r="Z39" i="4"/>
  <c r="Z40" i="4"/>
  <c r="Z41" i="4"/>
  <c r="Z5" i="4"/>
  <c r="R223" i="4"/>
  <c r="R222" i="4"/>
  <c r="R221" i="4"/>
  <c r="R220" i="4"/>
  <c r="R219" i="4"/>
  <c r="R218" i="4"/>
  <c r="R217" i="4"/>
  <c r="R216" i="4"/>
  <c r="R215" i="4"/>
  <c r="R214" i="4"/>
  <c r="R213" i="4"/>
  <c r="R212" i="4"/>
  <c r="R211" i="4"/>
  <c r="R210" i="4"/>
  <c r="R209" i="4"/>
  <c r="R208" i="4"/>
  <c r="R207" i="4"/>
  <c r="R206" i="4"/>
  <c r="R205" i="4"/>
  <c r="R204" i="4"/>
  <c r="R203" i="4"/>
  <c r="R202" i="4"/>
  <c r="R201" i="4"/>
  <c r="R200" i="4"/>
  <c r="R199" i="4"/>
  <c r="R198" i="4"/>
  <c r="R197" i="4"/>
  <c r="R196" i="4"/>
  <c r="R195" i="4"/>
  <c r="R194" i="4"/>
  <c r="R193" i="4"/>
  <c r="R192" i="4"/>
  <c r="R191" i="4"/>
  <c r="R190" i="4"/>
  <c r="R189" i="4"/>
  <c r="R188" i="4"/>
  <c r="R187" i="4"/>
  <c r="R186" i="4"/>
  <c r="R185" i="4"/>
  <c r="R184" i="4"/>
  <c r="R183" i="4"/>
  <c r="R182" i="4"/>
  <c r="R181" i="4"/>
  <c r="R180" i="4"/>
  <c r="R179" i="4"/>
  <c r="R178" i="4"/>
  <c r="R177" i="4"/>
  <c r="R176" i="4"/>
  <c r="R175" i="4"/>
  <c r="R174" i="4"/>
  <c r="R173" i="4"/>
  <c r="R172" i="4"/>
  <c r="R171" i="4"/>
  <c r="R170" i="4"/>
  <c r="R169" i="4"/>
  <c r="R168" i="4"/>
  <c r="R167" i="4"/>
  <c r="R166" i="4"/>
  <c r="R165" i="4"/>
  <c r="R164" i="4"/>
  <c r="R163" i="4"/>
  <c r="R162" i="4"/>
  <c r="R161" i="4"/>
  <c r="R160" i="4"/>
  <c r="R159" i="4"/>
  <c r="R158" i="4"/>
  <c r="R157" i="4"/>
  <c r="R156" i="4"/>
  <c r="R155" i="4"/>
  <c r="R154" i="4"/>
  <c r="R153" i="4"/>
  <c r="R152" i="4"/>
  <c r="R151" i="4"/>
  <c r="R150" i="4"/>
  <c r="R149" i="4"/>
  <c r="R148" i="4"/>
  <c r="R147" i="4"/>
  <c r="R146" i="4"/>
  <c r="R145" i="4"/>
  <c r="R144" i="4"/>
  <c r="R143" i="4"/>
  <c r="R142" i="4"/>
  <c r="R141" i="4"/>
  <c r="R140" i="4"/>
  <c r="R139" i="4"/>
  <c r="R138" i="4"/>
  <c r="R137" i="4"/>
  <c r="R136" i="4"/>
  <c r="R135" i="4"/>
  <c r="R134" i="4"/>
  <c r="R133" i="4"/>
  <c r="R132" i="4"/>
  <c r="R131" i="4"/>
  <c r="R130" i="4"/>
  <c r="R129" i="4"/>
  <c r="R128" i="4"/>
  <c r="R127" i="4"/>
  <c r="R126" i="4"/>
  <c r="R125" i="4"/>
  <c r="R124" i="4"/>
  <c r="R123" i="4"/>
  <c r="R122" i="4"/>
  <c r="R121" i="4"/>
  <c r="R120" i="4"/>
  <c r="R119" i="4"/>
  <c r="R118" i="4"/>
  <c r="R117" i="4"/>
  <c r="R116" i="4"/>
  <c r="R115" i="4"/>
  <c r="R114" i="4"/>
  <c r="R113" i="4"/>
  <c r="R112" i="4"/>
  <c r="R111" i="4"/>
  <c r="R110" i="4"/>
  <c r="R109" i="4"/>
  <c r="R108" i="4"/>
  <c r="R107" i="4"/>
  <c r="R106" i="4"/>
  <c r="R105" i="4"/>
  <c r="R104" i="4"/>
  <c r="R103" i="4"/>
  <c r="R102" i="4"/>
  <c r="R101" i="4"/>
  <c r="R100" i="4"/>
  <c r="R99" i="4"/>
  <c r="R98" i="4"/>
  <c r="R97" i="4"/>
  <c r="R96" i="4"/>
  <c r="R95" i="4"/>
  <c r="R94" i="4"/>
  <c r="R93" i="4"/>
  <c r="R92" i="4"/>
  <c r="R91" i="4"/>
  <c r="R90" i="4"/>
  <c r="R89" i="4"/>
  <c r="R88" i="4"/>
  <c r="R87" i="4"/>
  <c r="R86" i="4"/>
  <c r="R85" i="4"/>
  <c r="R84" i="4"/>
  <c r="R83" i="4"/>
  <c r="R82" i="4"/>
  <c r="R81" i="4"/>
  <c r="R80" i="4"/>
  <c r="R79" i="4"/>
  <c r="R78" i="4"/>
  <c r="R77" i="4"/>
  <c r="R76" i="4"/>
  <c r="R75" i="4"/>
  <c r="R74" i="4"/>
  <c r="R73" i="4"/>
  <c r="R72" i="4"/>
  <c r="R71" i="4"/>
  <c r="R70" i="4"/>
  <c r="R69" i="4"/>
  <c r="R68" i="4"/>
  <c r="R67" i="4"/>
  <c r="R66" i="4"/>
  <c r="R65" i="4"/>
  <c r="R64" i="4"/>
  <c r="R63" i="4"/>
  <c r="R62" i="4"/>
  <c r="R61" i="4"/>
  <c r="R60" i="4"/>
  <c r="R59" i="4"/>
  <c r="R58" i="4"/>
  <c r="R57" i="4"/>
  <c r="R56" i="4"/>
  <c r="R55" i="4"/>
  <c r="R54" i="4"/>
  <c r="R53" i="4"/>
  <c r="R52" i="4"/>
  <c r="R51" i="4"/>
  <c r="R50" i="4"/>
  <c r="R49" i="4"/>
  <c r="R48" i="4"/>
  <c r="R47" i="4"/>
  <c r="R46" i="4"/>
  <c r="R45" i="4"/>
  <c r="R44" i="4"/>
  <c r="R43" i="4"/>
  <c r="R42" i="4"/>
  <c r="R41" i="4"/>
  <c r="R40" i="4"/>
  <c r="R39" i="4"/>
  <c r="R38" i="4"/>
  <c r="R37" i="4"/>
  <c r="R36" i="4"/>
  <c r="R35" i="4"/>
  <c r="R34" i="4"/>
  <c r="R33" i="4"/>
  <c r="R32" i="4"/>
  <c r="R31" i="4"/>
  <c r="R30" i="4"/>
  <c r="R29" i="4"/>
  <c r="R28" i="4"/>
  <c r="R27" i="4"/>
  <c r="R26" i="4"/>
  <c r="R25" i="4"/>
  <c r="R24" i="4"/>
  <c r="R23" i="4"/>
  <c r="R22" i="4"/>
  <c r="R21" i="4"/>
  <c r="R20" i="4"/>
  <c r="R19" i="4"/>
  <c r="R18" i="4"/>
  <c r="R17" i="4"/>
  <c r="R16" i="4"/>
  <c r="R15" i="4"/>
  <c r="R14" i="4"/>
  <c r="R13" i="4"/>
  <c r="R12" i="4"/>
  <c r="R11" i="4"/>
  <c r="R10" i="4"/>
  <c r="R9" i="4"/>
  <c r="R8" i="4"/>
  <c r="R7" i="4"/>
  <c r="R6" i="4"/>
  <c r="R5" i="4"/>
  <c r="R4" i="4"/>
  <c r="R3" i="4"/>
  <c r="R2" i="4"/>
  <c r="N6" i="4"/>
  <c r="N7" i="4"/>
  <c r="N8" i="4"/>
  <c r="N9" i="4"/>
  <c r="N10" i="4"/>
  <c r="N11" i="4"/>
  <c r="N12" i="4"/>
  <c r="N13" i="4"/>
  <c r="N14" i="4"/>
  <c r="N15" i="4"/>
  <c r="N16" i="4"/>
  <c r="N17" i="4"/>
  <c r="N18" i="4"/>
  <c r="N19" i="4"/>
  <c r="N20" i="4"/>
  <c r="N21" i="4"/>
  <c r="N5" i="4"/>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A11" i="4"/>
  <c r="A12" i="4"/>
  <c r="AA9" i="4"/>
  <c r="AA13" i="4"/>
  <c r="AA19" i="4"/>
  <c r="AA25" i="4"/>
  <c r="AA31" i="4"/>
  <c r="AA37" i="4"/>
  <c r="AA41" i="4"/>
  <c r="AA11" i="4"/>
  <c r="AA17" i="4"/>
  <c r="AA23" i="4"/>
  <c r="AA29" i="4"/>
  <c r="AA35" i="4"/>
  <c r="AA7" i="4"/>
  <c r="AA15" i="4"/>
  <c r="AA21" i="4"/>
  <c r="AA27" i="4"/>
  <c r="AA33" i="4"/>
  <c r="AA39" i="4"/>
  <c r="AA14" i="4"/>
  <c r="AA8" i="4"/>
  <c r="AA12" i="4"/>
  <c r="AA16" i="4"/>
  <c r="AA20" i="4"/>
  <c r="AA24" i="4"/>
  <c r="AA28" i="4"/>
  <c r="AA32" i="4"/>
  <c r="AA36" i="4"/>
  <c r="AA40" i="4"/>
  <c r="AA6" i="4"/>
  <c r="AA10" i="4"/>
  <c r="AA18" i="4"/>
  <c r="AA22" i="4"/>
  <c r="AA26" i="4"/>
  <c r="AA30" i="4"/>
  <c r="AA34" i="4"/>
  <c r="AA38" i="4"/>
  <c r="AA5" i="4"/>
  <c r="O8" i="4"/>
  <c r="O14" i="4"/>
  <c r="O16" i="4"/>
  <c r="O18" i="4"/>
  <c r="O6" i="4"/>
  <c r="O9" i="4"/>
  <c r="O11" i="4"/>
  <c r="O15" i="4"/>
  <c r="O19" i="4"/>
  <c r="O10" i="4"/>
  <c r="O7" i="4"/>
  <c r="O13" i="4"/>
  <c r="O17" i="4"/>
  <c r="O21" i="4"/>
  <c r="O12" i="4"/>
  <c r="O20" i="4"/>
  <c r="O5" i="4"/>
</calcChain>
</file>

<file path=xl/sharedStrings.xml><?xml version="1.0" encoding="utf-8"?>
<sst xmlns="http://schemas.openxmlformats.org/spreadsheetml/2006/main" count="6855" uniqueCount="1751">
  <si>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</si>
  <si>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</si>
  <si>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</si>
  <si>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</si>
  <si>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</si>
  <si>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</si>
  <si>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</si>
  <si>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</si>
  <si>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</si>
  <si>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</si>
  <si>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</si>
  <si>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</si>
  <si>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</si>
  <si>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</si>
  <si>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</si>
  <si>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</si>
  <si>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</si>
  <si>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</si>
  <si>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</si>
  <si>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</si>
  <si>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</si>
  <si>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</si>
  <si>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</si>
  <si>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</si>
  <si>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</si>
  <si>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</si>
  <si>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</si>
  <si>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</si>
  <si>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</si>
  <si>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</si>
  <si>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</si>
  <si>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</si>
  <si>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</si>
  <si>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</si>
  <si>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</si>
  <si>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</si>
  <si>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</si>
  <si>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</si>
  <si>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</si>
  <si>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</si>
  <si>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</si>
  <si>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</si>
  <si>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</si>
  <si>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</si>
  <si>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</si>
  <si>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</si>
  <si>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</si>
  <si>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</si>
  <si>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</si>
  <si>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</si>
  <si>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</si>
  <si>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</si>
  <si>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</si>
  <si>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</si>
  <si>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</si>
  <si>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</si>
  <si>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</si>
  <si>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</si>
  <si>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</si>
  <si>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</si>
  <si>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</si>
  <si>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</si>
  <si>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</si>
  <si>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</si>
  <si>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</si>
  <si>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</si>
  <si>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</si>
  <si>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</si>
  <si>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</si>
  <si>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</si>
  <si>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</si>
  <si>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</si>
  <si>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</si>
  <si>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</si>
  <si>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</si>
  <si>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</si>
  <si>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</si>
  <si>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</si>
  <si>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</si>
  <si>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</si>
  <si>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</si>
  <si>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</si>
  <si>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</si>
  <si>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</si>
  <si>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</si>
  <si>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</si>
  <si>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</si>
  <si>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</si>
  <si>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</si>
  <si>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</si>
  <si>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</si>
  <si>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</si>
  <si>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</si>
  <si>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</si>
  <si>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</si>
  <si>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</si>
  <si>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</si>
  <si>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</si>
  <si>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</si>
  <si>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</si>
  <si>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</si>
  <si>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</si>
  <si>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</si>
  <si>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</si>
  <si>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</si>
  <si>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</si>
  <si>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</si>
  <si>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</si>
  <si>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</si>
  <si>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</si>
  <si>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</si>
  <si>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</si>
  <si>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</si>
  <si>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</si>
  <si>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</si>
  <si>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</si>
  <si>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</si>
  <si>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</si>
  <si>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</si>
  <si>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</si>
  <si>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</si>
  <si>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</si>
  <si>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</si>
  <si>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</si>
  <si>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</si>
  <si>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</si>
  <si>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</si>
  <si>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</si>
  <si>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</si>
  <si>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</si>
  <si>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</si>
  <si>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</si>
  <si>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</si>
  <si>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</si>
  <si>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</si>
  <si>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</si>
  <si>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</si>
  <si>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</si>
  <si>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</si>
  <si>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</si>
  <si>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</si>
  <si>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</si>
  <si>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</si>
  <si>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</si>
  <si>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</si>
  <si>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</si>
  <si>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</si>
  <si>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</si>
  <si>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</si>
  <si>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</si>
  <si>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</si>
  <si>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</si>
  <si>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</si>
  <si>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</si>
  <si>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</si>
  <si>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</si>
  <si>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</si>
  <si>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</si>
  <si>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</si>
  <si>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</si>
  <si>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</si>
  <si>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</si>
  <si>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</si>
  <si>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</si>
  <si>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</si>
  <si>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</si>
  <si>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</si>
  <si>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</si>
  <si>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</si>
  <si>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</si>
  <si>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</si>
  <si>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</si>
  <si>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</si>
  <si>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</si>
  <si>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</si>
  <si>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</si>
  <si>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</si>
  <si>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</si>
  <si>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</si>
  <si>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</si>
  <si>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</si>
  <si>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</si>
  <si>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</si>
  <si>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</si>
  <si>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</si>
  <si>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</si>
  <si>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</si>
  <si>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</si>
  <si>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</si>
  <si>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</si>
  <si>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</si>
  <si>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</si>
  <si>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</si>
  <si>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</si>
  <si>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</si>
  <si>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</si>
  <si>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</si>
  <si>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</si>
  <si>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</si>
  <si>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</si>
  <si>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</si>
  <si>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</si>
  <si>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</si>
  <si>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</si>
  <si>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</si>
  <si>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</si>
  <si>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</si>
  <si>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</si>
  <si>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</si>
  <si>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</si>
  <si>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</si>
  <si>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</si>
  <si>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</si>
  <si>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</si>
  <si>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</si>
  <si>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</si>
  <si>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</si>
  <si>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</si>
  <si>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</si>
  <si>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</si>
  <si>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</si>
  <si>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</si>
  <si>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</si>
  <si>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</si>
  <si>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</si>
  <si>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</si>
  <si>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</si>
  <si>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</si>
  <si>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</si>
  <si>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</si>
  <si>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</si>
  <si>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</si>
  <si>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</si>
  <si>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</si>
  <si>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</si>
  <si>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</si>
  <si>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</si>
  <si>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</si>
  <si>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</si>
  <si>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</si>
  <si>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</si>
  <si>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</si>
  <si>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</si>
  <si>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</si>
  <si>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</si>
  <si>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</si>
  <si>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</si>
  <si>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</si>
  <si>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</si>
  <si>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</si>
  <si>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</si>
  <si>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</si>
  <si>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</si>
  <si>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</si>
  <si>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</si>
  <si>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</si>
  <si>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</si>
  <si>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</si>
  <si>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</si>
  <si>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</si>
  <si>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</si>
  <si>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</si>
  <si>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</si>
  <si>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</si>
  <si>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</si>
  <si>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</si>
  <si>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</si>
  <si>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</si>
  <si>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</si>
  <si>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</si>
  <si>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</si>
  <si>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</si>
  <si>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</si>
  <si>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</si>
  <si>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</si>
  <si>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</si>
  <si>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</si>
  <si>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</si>
  <si>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</si>
  <si>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</si>
  <si>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</si>
  <si>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</si>
  <si>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</si>
  <si>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</si>
  <si>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</si>
  <si>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</si>
  <si>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</si>
  <si>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</si>
  <si>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</si>
  <si>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</si>
  <si>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</si>
  <si>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</si>
  <si>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</si>
  <si>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</si>
  <si>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</si>
  <si>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</si>
  <si>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</si>
  <si>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</si>
  <si>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</si>
  <si>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</si>
  <si>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</si>
  <si>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</si>
  <si>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</si>
  <si>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</si>
  <si>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</si>
  <si>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</si>
  <si>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</si>
  <si>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</si>
  <si>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</si>
  <si>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</si>
  <si>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</si>
  <si>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</si>
  <si>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</si>
  <si>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</si>
  <si>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</si>
  <si>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</si>
  <si>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</si>
  <si>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</si>
  <si>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</si>
  <si>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</si>
  <si>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</si>
  <si>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</si>
  <si>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</si>
  <si>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</si>
  <si>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</si>
  <si>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</si>
  <si>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</si>
  <si>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</si>
  <si>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</si>
  <si>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</si>
  <si>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</si>
  <si>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</si>
  <si>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</si>
  <si>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</si>
  <si>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</si>
  <si>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</si>
  <si>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</si>
  <si>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</si>
  <si>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</si>
  <si>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</si>
  <si>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</si>
  <si>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</si>
  <si>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</si>
  <si>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</si>
  <si>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</si>
  <si>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</si>
  <si>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</si>
  <si>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</si>
  <si>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</si>
  <si>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</si>
  <si>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</si>
  <si>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</si>
  <si>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</si>
  <si>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</si>
  <si>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</si>
  <si>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</si>
  <si>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</si>
  <si>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</si>
  <si>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</si>
  <si>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</si>
  <si>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</si>
  <si>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</si>
  <si>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</si>
  <si>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</si>
  <si>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</si>
  <si>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</si>
  <si>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</si>
  <si>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</si>
  <si>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</si>
  <si>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</si>
  <si>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</si>
  <si>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</si>
  <si>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</si>
  <si>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</si>
  <si>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</si>
  <si>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</si>
  <si>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</si>
  <si>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</si>
  <si>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</si>
  <si>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</si>
  <si>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</si>
  <si>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</si>
  <si>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</si>
  <si>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</si>
  <si>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</si>
  <si>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</si>
  <si>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</si>
  <si>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</si>
  <si>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</si>
  <si>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</si>
  <si>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</si>
  <si>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</si>
  <si>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</si>
  <si>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</si>
  <si>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</si>
  <si>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</si>
  <si>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</si>
  <si>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</si>
  <si>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</si>
  <si>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</si>
  <si>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</si>
  <si>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</si>
  <si>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</si>
  <si>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</si>
  <si>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</si>
  <si>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</si>
  <si>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</si>
  <si>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</si>
  <si>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</si>
  <si>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</si>
  <si>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</si>
  <si>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</si>
  <si>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</si>
  <si>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</si>
  <si>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</si>
  <si>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</si>
  <si>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</si>
  <si>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</si>
  <si>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</si>
  <si>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</si>
  <si>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</si>
  <si>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</si>
  <si>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</si>
  <si>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</si>
  <si>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</si>
  <si>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</si>
  <si>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</si>
  <si>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</si>
  <si>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</si>
  <si>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</si>
  <si>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</si>
  <si>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</si>
  <si>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</si>
  <si>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</si>
  <si>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</si>
  <si>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</si>
  <si>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</si>
  <si>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</si>
  <si>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</si>
  <si>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</si>
  <si>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</si>
  <si>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</si>
  <si>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</si>
  <si>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</si>
  <si>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</si>
  <si>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</si>
  <si>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</si>
  <si>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</si>
  <si>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</si>
  <si>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</si>
  <si>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</si>
  <si>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</si>
  <si>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</si>
  <si>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</si>
  <si>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</si>
  <si>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</si>
  <si>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</si>
  <si>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</si>
  <si>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</si>
  <si>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</si>
  <si>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</si>
  <si>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</si>
  <si>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</si>
  <si>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</si>
  <si>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</si>
  <si>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</si>
  <si>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</si>
  <si>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</si>
  <si>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</si>
  <si>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</si>
  <si>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</si>
  <si>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</si>
  <si>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</si>
  <si>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</si>
  <si>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</si>
  <si>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</si>
  <si>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</si>
  <si>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</si>
  <si>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</si>
  <si>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</si>
  <si>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</si>
  <si>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</si>
  <si>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</si>
  <si>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</si>
  <si>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</si>
  <si>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</si>
  <si>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</si>
  <si>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</si>
  <si>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</si>
  <si>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</si>
  <si>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</si>
  <si>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</si>
  <si>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</si>
  <si>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</si>
  <si>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</si>
  <si>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</si>
  <si>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</si>
  <si>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</si>
  <si>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</si>
  <si>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</si>
  <si>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</si>
  <si>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</si>
  <si>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</si>
  <si>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</si>
  <si>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</si>
  <si>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</si>
  <si>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</si>
  <si>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</si>
  <si>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</si>
  <si>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</si>
  <si>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</si>
  <si>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</si>
  <si>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</si>
  <si>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</si>
  <si>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</si>
  <si>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</si>
  <si>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</si>
  <si>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</si>
  <si>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</si>
  <si>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</si>
  <si>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</si>
  <si>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</si>
  <si>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</si>
  <si>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</si>
  <si>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</si>
  <si>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</si>
  <si>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</si>
  <si>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</si>
  <si>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</si>
  <si>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</si>
  <si>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</si>
  <si>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</si>
  <si>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</si>
  <si>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</si>
  <si>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</si>
  <si>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</si>
  <si>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</si>
  <si>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</si>
  <si>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</si>
  <si>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</si>
  <si>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</si>
  <si>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</si>
  <si>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</si>
  <si>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</si>
  <si>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</si>
  <si>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</si>
  <si>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</si>
  <si>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</si>
  <si>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</si>
  <si>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</si>
  <si>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</si>
  <si>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</si>
  <si>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</si>
  <si>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</si>
  <si>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</si>
  <si>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</si>
  <si>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</si>
  <si>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</si>
  <si>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</si>
  <si>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</si>
  <si>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</si>
  <si>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</si>
  <si>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</si>
  <si>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</si>
  <si>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</si>
  <si>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</si>
  <si>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</si>
  <si>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</si>
  <si>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</si>
  <si>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</si>
  <si>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</si>
  <si>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</si>
  <si>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</si>
  <si>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</si>
  <si>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</si>
  <si>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</si>
  <si>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</si>
  <si>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</si>
  <si>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</si>
  <si>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</si>
  <si>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</si>
  <si>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</si>
  <si>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</si>
  <si>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</si>
  <si>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</si>
  <si>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</si>
  <si>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</si>
  <si>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</si>
  <si>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</si>
  <si>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</si>
  <si>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</si>
  <si>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</si>
  <si>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</si>
  <si>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</si>
  <si>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</si>
  <si>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</si>
  <si>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</si>
  <si>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</si>
  <si>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</si>
  <si>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</si>
  <si>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</si>
  <si>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</si>
  <si>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</si>
  <si>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</si>
  <si>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</si>
  <si>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</si>
  <si>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</si>
  <si>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</si>
  <si>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</si>
  <si>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</si>
  <si>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</si>
  <si>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</si>
  <si>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</si>
  <si>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</si>
  <si>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</si>
  <si>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</si>
  <si>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</si>
  <si>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</si>
  <si>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</si>
  <si>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</si>
  <si>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</si>
  <si>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</si>
  <si>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</si>
  <si>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</si>
  <si>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</si>
  <si>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</si>
  <si>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</si>
  <si>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</si>
  <si>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</si>
  <si>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</si>
  <si>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</si>
  <si>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</si>
  <si>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</si>
  <si>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</si>
  <si>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</si>
  <si>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</si>
  <si>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</si>
  <si>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</si>
  <si>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</si>
  <si>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</si>
  <si>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</si>
  <si>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</si>
  <si>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</si>
  <si>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</si>
  <si>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</si>
  <si>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</si>
  <si>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</si>
  <si>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</si>
  <si>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</si>
  <si>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</si>
  <si>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</si>
  <si>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</si>
  <si>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</si>
  <si>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</si>
  <si>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</si>
  <si>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</si>
  <si>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</si>
  <si>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</si>
  <si>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</si>
  <si>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</si>
  <si>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</si>
  <si>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</si>
  <si>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</si>
  <si>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</si>
  <si>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</si>
  <si>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</si>
  <si>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</si>
  <si>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</si>
  <si>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</si>
  <si>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</si>
  <si>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</si>
  <si>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</si>
  <si>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</si>
  <si>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</si>
  <si>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</si>
  <si>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</si>
  <si>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</si>
  <si>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</si>
  <si>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</si>
  <si>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</si>
  <si>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</si>
  <si>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</si>
  <si>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</si>
  <si>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</si>
  <si>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</si>
  <si>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</si>
  <si>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</si>
  <si>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</si>
  <si>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</si>
  <si>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</si>
  <si>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</si>
  <si>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</si>
  <si>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</si>
  <si>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</si>
  <si>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</si>
  <si>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</si>
  <si>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</si>
  <si>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</si>
  <si>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</si>
  <si>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</si>
  <si>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</si>
  <si>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</si>
  <si>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</si>
  <si>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</si>
  <si>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</si>
  <si>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</si>
  <si>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</si>
  <si>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</si>
  <si>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</si>
  <si>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</si>
  <si>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</si>
  <si>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</si>
  <si>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</si>
  <si>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</si>
  <si>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</si>
  <si>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</si>
  <si>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</si>
  <si>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</si>
  <si>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</si>
  <si>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</si>
  <si>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</si>
  <si>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</si>
  <si>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</si>
  <si>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</si>
  <si>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</si>
  <si>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</si>
  <si>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</si>
  <si>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</si>
  <si>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</si>
  <si>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</si>
  <si>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</si>
  <si>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</si>
  <si>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</si>
  <si>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</si>
  <si>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</si>
  <si>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</si>
  <si>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</si>
  <si>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</si>
  <si>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</si>
  <si>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</si>
  <si>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</si>
  <si>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</si>
  <si>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</si>
  <si>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</si>
  <si>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</si>
  <si>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</si>
  <si>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</si>
  <si>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</si>
  <si>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</si>
  <si>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</si>
  <si>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</si>
  <si>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</si>
  <si>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</si>
  <si>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</si>
  <si>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</si>
  <si>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</si>
  <si>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</si>
  <si>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</si>
  <si>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</si>
  <si>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</si>
  <si>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</si>
  <si>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</si>
  <si>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</si>
  <si>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</si>
  <si>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</si>
  <si>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</si>
  <si>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</si>
  <si>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</si>
  <si>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</si>
  <si>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</si>
  <si>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</si>
  <si>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</si>
  <si>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</si>
  <si>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</si>
  <si>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</si>
  <si>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</si>
  <si>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</si>
  <si>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</si>
  <si>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</si>
  <si>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</si>
  <si>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</si>
  <si>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</si>
  <si>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</si>
  <si>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</si>
  <si>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</si>
  <si>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</si>
  <si>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</si>
  <si>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</si>
  <si>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</si>
  <si>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</si>
  <si>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</si>
  <si>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</si>
  <si>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</si>
  <si>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</si>
  <si>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</si>
  <si>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</si>
  <si>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</si>
  <si>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</si>
  <si>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</si>
  <si>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</si>
  <si>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</si>
  <si>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</si>
  <si>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</si>
  <si>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</si>
  <si>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</si>
  <si>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</si>
  <si>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</si>
  <si>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</si>
  <si>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</si>
  <si>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</si>
  <si>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</si>
  <si>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</si>
  <si>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</si>
  <si>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</si>
  <si>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</si>
  <si>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</si>
  <si>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</si>
  <si>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</si>
  <si>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</si>
  <si>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</si>
  <si>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</si>
  <si>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</si>
  <si>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</si>
  <si>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</si>
  <si>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</si>
  <si>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</si>
  <si>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</si>
  <si>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</si>
  <si>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</si>
  <si>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</si>
  <si>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</si>
  <si>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</si>
  <si>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</si>
  <si>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</si>
  <si>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</si>
  <si>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</si>
  <si>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</si>
  <si>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</si>
  <si>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</si>
  <si>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</si>
  <si>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</si>
  <si>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</si>
  <si>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</si>
  <si>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</si>
  <si>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</si>
  <si>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</si>
  <si>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</si>
  <si>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</si>
  <si>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</si>
  <si>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</si>
  <si>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</si>
  <si>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</si>
  <si>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</si>
  <si>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</si>
  <si>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</si>
  <si>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</si>
  <si>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</si>
  <si>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</si>
  <si>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</si>
  <si>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</si>
  <si>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</si>
  <si>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</si>
  <si>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</si>
  <si>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</si>
  <si>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</si>
  <si>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</si>
  <si>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</si>
  <si>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</si>
  <si>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</si>
  <si>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</si>
  <si>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</si>
  <si>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</si>
  <si>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</si>
  <si>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</si>
  <si>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</si>
  <si>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</si>
  <si>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</si>
  <si>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</si>
  <si>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</si>
  <si>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</si>
  <si>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</si>
  <si>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</si>
  <si>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</si>
  <si>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</si>
  <si>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</si>
  <si>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</si>
  <si>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</si>
  <si>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</si>
  <si>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</si>
  <si>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</si>
  <si>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</si>
  <si>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</si>
  <si>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</si>
  <si>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</si>
  <si>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</si>
  <si>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</si>
  <si>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</si>
  <si>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</si>
  <si>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</si>
  <si>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</si>
  <si>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</si>
  <si>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</si>
  <si>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</si>
  <si>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</si>
  <si>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</si>
  <si>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</si>
  <si>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</si>
  <si>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</si>
  <si>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</si>
  <si>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</si>
  <si>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</si>
  <si>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</si>
  <si>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</si>
  <si>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</si>
  <si>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</si>
  <si>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</si>
  <si>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</si>
  <si>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</si>
  <si>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</si>
  <si>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</si>
  <si>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</si>
  <si>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</si>
  <si>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</si>
  <si>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</si>
  <si>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</si>
  <si>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</si>
  <si>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</si>
  <si>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</si>
  <si>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</si>
  <si>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</si>
  <si>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</si>
  <si>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</si>
  <si>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</si>
  <si>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</si>
  <si>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</si>
  <si>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</si>
  <si>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</si>
  <si>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</si>
  <si>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</si>
  <si>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</si>
  <si>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</si>
  <si>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</si>
  <si>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</si>
  <si>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</si>
  <si>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</si>
  <si>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</si>
  <si>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</si>
  <si>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</si>
  <si>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</si>
  <si>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</si>
  <si>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</si>
  <si>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</si>
  <si>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</si>
  <si>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</si>
  <si>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</si>
  <si>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</si>
  <si>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</si>
  <si>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</si>
  <si>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</si>
  <si>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</si>
  <si>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</si>
  <si>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</si>
  <si>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</si>
  <si>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</si>
  <si>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</si>
  <si>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</si>
  <si>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</si>
  <si>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</si>
  <si>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</si>
  <si>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</si>
  <si>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</si>
  <si>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</si>
  <si>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</si>
  <si>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</si>
  <si>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</si>
  <si>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</si>
  <si>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</si>
  <si>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</si>
  <si>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</si>
  <si>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</si>
  <si>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</si>
  <si>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</si>
  <si>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</si>
  <si>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</si>
  <si>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</si>
  <si>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</si>
  <si>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</si>
  <si>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</si>
  <si>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</si>
  <si>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</si>
  <si>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</si>
  <si>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</si>
  <si>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</si>
  <si>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</si>
  <si>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</si>
  <si>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</si>
  <si>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</si>
  <si>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</si>
  <si>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</si>
  <si>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</si>
  <si>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</si>
  <si>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</si>
  <si>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</si>
  <si>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</si>
  <si>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</si>
  <si>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</si>
  <si>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</si>
  <si>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</si>
  <si>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</si>
  <si>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</si>
  <si>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</si>
  <si>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</si>
  <si>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</si>
  <si>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</si>
  <si>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</si>
  <si>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</si>
  <si>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</si>
  <si>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</si>
  <si>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</si>
  <si>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</si>
  <si>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</si>
  <si>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</si>
  <si>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</si>
  <si>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</si>
  <si>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</si>
  <si>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</si>
  <si>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</si>
  <si>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</si>
  <si>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</si>
  <si>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</si>
  <si>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</si>
  <si>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</si>
  <si>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</si>
  <si>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</si>
  <si>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</si>
  <si>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</si>
  <si>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</si>
  <si>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</si>
  <si>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</si>
  <si>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</si>
  <si>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</si>
  <si>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</si>
  <si>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</si>
  <si>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</si>
  <si>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</si>
  <si>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</si>
  <si>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</si>
  <si>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</si>
  <si>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</si>
  <si>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</si>
  <si>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</si>
  <si>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</si>
  <si>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</si>
  <si>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</si>
  <si>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</si>
  <si>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</si>
  <si>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</si>
  <si>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</si>
  <si>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</si>
  <si>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</si>
  <si>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</si>
  <si>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</si>
  <si>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</si>
  <si>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</si>
  <si>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</si>
  <si>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</si>
  <si>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</si>
  <si>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</si>
  <si>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</si>
  <si>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</si>
  <si>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</si>
  <si>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</si>
  <si>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</si>
  <si>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</si>
  <si>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</si>
  <si>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</si>
  <si>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</si>
  <si>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</si>
  <si>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</si>
  <si>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</si>
  <si>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</si>
  <si>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</si>
  <si>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</si>
  <si>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</si>
  <si>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</si>
  <si>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</si>
  <si>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</si>
  <si>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</si>
  <si>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</si>
  <si>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</si>
  <si>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</si>
  <si>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</si>
  <si>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</si>
  <si>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</si>
  <si>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</si>
  <si>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</si>
  <si>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</si>
  <si>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</si>
  <si>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</si>
  <si>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</si>
  <si>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</si>
  <si>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</si>
  <si>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</si>
  <si>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</si>
  <si>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</si>
  <si>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</si>
  <si>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</si>
  <si>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</si>
  <si>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</si>
  <si>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</si>
  <si>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</si>
  <si>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</si>
  <si>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</si>
  <si>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</si>
  <si>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</si>
  <si>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</si>
  <si>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</si>
  <si>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</si>
  <si>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</si>
  <si>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</si>
  <si>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</si>
  <si>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</si>
  <si>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</si>
  <si>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</si>
  <si>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</si>
  <si>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</si>
  <si>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</si>
  <si>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</si>
  <si>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</si>
  <si>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</si>
  <si>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</si>
  <si>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</si>
  <si>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</si>
  <si>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</si>
  <si>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</si>
  <si>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</si>
  <si>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</si>
  <si>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</si>
  <si>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</si>
  <si>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</si>
  <si>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</si>
  <si>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</si>
  <si>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</si>
  <si>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</si>
  <si>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</si>
  <si>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</si>
  <si>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</si>
  <si>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</si>
  <si>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</si>
  <si>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</si>
  <si>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</si>
  <si>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</si>
  <si>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</si>
  <si>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</si>
  <si>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</si>
  <si>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</si>
  <si>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</si>
  <si>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</si>
  <si>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</si>
  <si>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</si>
  <si>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</si>
  <si>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</si>
  <si>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</si>
  <si>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</si>
  <si>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</si>
  <si>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</si>
  <si>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</si>
  <si>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</si>
  <si>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</si>
  <si>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</si>
  <si>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</si>
  <si>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</si>
  <si>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</si>
  <si>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</si>
  <si>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</si>
  <si>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</si>
  <si>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</si>
  <si>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</si>
  <si>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</si>
  <si>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</si>
  <si>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</si>
  <si>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</si>
  <si>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</si>
  <si>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</si>
  <si>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</si>
  <si>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</si>
  <si>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</si>
  <si>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</si>
  <si>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</si>
  <si>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</si>
  <si>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</si>
  <si>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</si>
  <si>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</si>
  <si>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</si>
  <si>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</si>
  <si>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</si>
  <si>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</si>
  <si>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</si>
  <si>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</si>
  <si>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</si>
  <si>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</si>
  <si>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</si>
  <si>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</si>
  <si>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</si>
  <si>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</si>
  <si>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</si>
  <si>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</si>
  <si>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</si>
  <si>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</si>
  <si>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</si>
  <si>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</si>
  <si>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</si>
  <si>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</si>
  <si>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</si>
  <si>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</si>
  <si>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</si>
  <si>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</si>
  <si>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</si>
  <si>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</si>
  <si>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</si>
  <si>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</si>
  <si>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</si>
  <si>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</si>
  <si>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</si>
  <si>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</si>
  <si>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</si>
  <si>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</si>
  <si>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</si>
  <si>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</si>
  <si>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</si>
  <si>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</si>
  <si>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</si>
  <si>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</si>
  <si>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</si>
  <si>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</si>
  <si>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</si>
  <si>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</si>
  <si>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</si>
  <si>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</si>
  <si>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</si>
  <si>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</si>
  <si>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</si>
  <si>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</si>
  <si>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</si>
  <si>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</si>
  <si>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</si>
  <si>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</si>
  <si>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</si>
  <si>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</si>
  <si>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</si>
  <si>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</si>
  <si>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</si>
  <si>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</si>
  <si>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</si>
  <si>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</si>
  <si>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</si>
  <si>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</si>
  <si>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</si>
  <si>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</si>
  <si>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</si>
  <si>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</si>
  <si>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</si>
  <si>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</si>
  <si>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</si>
  <si>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</si>
  <si>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</si>
  <si>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</si>
  <si>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</si>
  <si>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</si>
  <si>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</si>
  <si>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</si>
  <si>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</si>
  <si>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</si>
  <si>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</si>
  <si>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</si>
  <si>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</si>
  <si>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</si>
  <si>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</si>
  <si>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</si>
  <si>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</si>
  <si>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</si>
  <si>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</si>
  <si>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</si>
  <si>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</si>
  <si>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</si>
  <si>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</si>
  <si>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</si>
  <si>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</si>
  <si>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</si>
  <si>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</si>
  <si>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</si>
  <si>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</si>
  <si>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</si>
  <si>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</si>
  <si>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</si>
  <si>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</si>
  <si>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</si>
  <si>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</si>
  <si>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</si>
  <si>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</si>
  <si>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</si>
  <si>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</si>
  <si>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</si>
  <si>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</si>
  <si>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</si>
  <si>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</si>
  <si>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</si>
  <si>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</si>
  <si>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</si>
  <si>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</si>
  <si>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</si>
  <si>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</si>
  <si>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</si>
  <si>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</si>
  <si>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</si>
  <si>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</si>
  <si>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</si>
  <si>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</si>
  <si>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</si>
  <si>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</si>
  <si>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</si>
  <si>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</si>
  <si>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</si>
  <si>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</si>
  <si>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</si>
  <si>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</si>
  <si>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</si>
  <si>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</si>
  <si>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</si>
  <si>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</si>
  <si>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</si>
  <si>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</si>
  <si>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</si>
  <si>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</si>
  <si>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</si>
  <si>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</si>
  <si>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</si>
  <si>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</si>
  <si>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</si>
  <si>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</si>
  <si>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</si>
  <si>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</si>
  <si>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</si>
  <si>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</si>
  <si>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</si>
  <si>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</si>
  <si>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</si>
  <si>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</si>
  <si>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</si>
  <si>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</si>
  <si>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</si>
  <si>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</si>
  <si>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</si>
  <si>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</si>
  <si>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</si>
  <si>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</si>
  <si>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</si>
  <si>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</si>
  <si>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</si>
  <si>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</si>
  <si>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</si>
  <si>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</si>
  <si>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</si>
  <si>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</si>
  <si>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</si>
  <si>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</si>
  <si>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</si>
  <si>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</si>
  <si>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</si>
  <si>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</si>
  <si>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</si>
  <si>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</si>
  <si>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</si>
  <si>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</si>
  <si>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</si>
  <si>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</si>
  <si>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</si>
  <si>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</si>
  <si>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</si>
  <si>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</si>
  <si>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</si>
  <si>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</si>
  <si>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</si>
  <si>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</si>
  <si>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</si>
  <si>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</si>
  <si>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</si>
  <si>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</si>
  <si>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</si>
  <si>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</si>
  <si>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</si>
  <si>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</si>
  <si>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</si>
  <si>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</si>
  <si>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</si>
  <si>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</si>
  <si>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</si>
  <si>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</si>
  <si>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</si>
  <si>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</si>
  <si>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</si>
  <si>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</si>
  <si>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</si>
  <si>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</si>
  <si>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</si>
  <si>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</si>
  <si>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</si>
  <si>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</si>
  <si>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</si>
  <si>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</si>
  <si>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</si>
  <si>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</si>
  <si>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</si>
  <si>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</si>
  <si>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</si>
  <si>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</si>
  <si>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</si>
  <si>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</si>
  <si>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</si>
  <si>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</si>
  <si>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</si>
  <si>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</si>
  <si>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</si>
  <si>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</si>
  <si>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</si>
  <si>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</si>
  <si>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</si>
  <si>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</si>
  <si>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</si>
  <si>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</si>
  <si>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</si>
  <si>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</si>
  <si>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</si>
  <si>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</si>
  <si>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</si>
  <si>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</si>
  <si>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</si>
  <si>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</si>
  <si>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</si>
  <si>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</si>
  <si>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</si>
  <si>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</si>
  <si>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</si>
  <si>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</si>
  <si>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</si>
  <si>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</si>
  <si>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</si>
  <si>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</si>
  <si>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</si>
  <si>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</si>
  <si>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</si>
  <si>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</si>
  <si>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</si>
  <si>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</si>
  <si>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</si>
  <si>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</si>
  <si>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</si>
  <si>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</si>
  <si>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</si>
  <si>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</si>
  <si>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</si>
  <si>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</si>
  <si>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</si>
  <si>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</si>
  <si>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</si>
  <si>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</si>
  <si>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</si>
  <si>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</si>
  <si>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</si>
  <si>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</si>
  <si>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</si>
  <si>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</si>
  <si>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</si>
  <si>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</si>
  <si>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</si>
  <si>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</si>
  <si>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</si>
  <si>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</si>
  <si>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</si>
  <si>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</si>
  <si>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</si>
  <si>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</si>
  <si>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</si>
  <si>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</si>
  <si>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</si>
  <si>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</si>
  <si>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</si>
  <si>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</si>
  <si>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</si>
  <si>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</si>
  <si>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</si>
  <si>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</si>
  <si>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</si>
  <si>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</si>
  <si>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</si>
  <si>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</si>
  <si>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</si>
  <si>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</si>
  <si>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</si>
  <si>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</si>
  <si>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</si>
  <si>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</si>
  <si>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</si>
  <si>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</si>
  <si>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</si>
  <si>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</si>
  <si>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</si>
  <si>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</si>
  <si>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</si>
  <si>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</si>
  <si>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</si>
  <si>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</si>
  <si>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</si>
  <si>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</si>
  <si>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</si>
  <si>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</si>
  <si>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</si>
  <si>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</si>
  <si>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</si>
  <si>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</si>
  <si>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</si>
  <si>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</si>
  <si>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</si>
  <si>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</si>
  <si>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</si>
  <si>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</si>
  <si>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</si>
  <si>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</si>
  <si>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</si>
  <si>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</si>
  <si>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</si>
  <si>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</si>
  <si>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</si>
  <si>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</si>
  <si>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</si>
  <si>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</si>
  <si>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</si>
  <si>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</si>
  <si>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</si>
  <si>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</si>
  <si>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</si>
  <si>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</si>
  <si>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</si>
  <si>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</si>
  <si>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</si>
  <si>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</si>
  <si>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</si>
  <si>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</si>
  <si>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</si>
  <si>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</si>
  <si>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</si>
  <si>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</si>
  <si>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</si>
  <si>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</si>
  <si>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</si>
  <si>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</si>
  <si>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</si>
  <si>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</si>
  <si>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</si>
  <si>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</si>
  <si>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</si>
  <si>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</si>
  <si>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</si>
  <si>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</si>
  <si>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</si>
  <si>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</si>
  <si>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</si>
  <si>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</si>
  <si>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</si>
  <si>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</si>
  <si>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</si>
  <si>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</si>
  <si>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</si>
  <si>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</si>
  <si>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</si>
  <si>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</si>
  <si>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</si>
  <si>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</si>
  <si>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</si>
  <si>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</si>
  <si>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</si>
  <si>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</si>
  <si>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</si>
  <si>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</si>
  <si>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</si>
  <si>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</si>
  <si>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</si>
  <si>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</si>
  <si>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</si>
  <si>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</si>
  <si>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</si>
  <si>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</si>
  <si>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</si>
  <si>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</si>
  <si>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</si>
  <si>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</si>
  <si>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</si>
  <si>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</si>
  <si>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</si>
  <si>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</si>
  <si>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</si>
  <si>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</si>
  <si>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</si>
  <si>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</si>
  <si>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</si>
  <si>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</si>
  <si>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</si>
  <si>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</si>
  <si>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</si>
  <si>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</si>
  <si>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</si>
  <si>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</si>
  <si>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</si>
  <si>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</si>
  <si>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</si>
  <si>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</si>
  <si>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</si>
  <si>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</si>
  <si>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</si>
  <si>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</si>
  <si>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</si>
  <si>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</si>
  <si>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</si>
  <si>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</si>
  <si>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</si>
  <si>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</si>
  <si>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</si>
  <si>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</si>
  <si>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</si>
  <si>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</si>
  <si>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</si>
  <si>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</si>
  <si>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</si>
  <si>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</si>
  <si>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</si>
  <si>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</si>
  <si>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</si>
  <si>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</si>
  <si>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</si>
  <si>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</si>
  <si>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</si>
  <si>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</si>
  <si>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</si>
  <si>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</si>
  <si>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</si>
  <si>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</si>
  <si>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</si>
  <si>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</si>
  <si>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</si>
  <si>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</si>
  <si>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</si>
  <si>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</si>
  <si>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</si>
  <si>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</si>
  <si>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</si>
  <si>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</si>
  <si>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</si>
  <si>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</si>
  <si>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</si>
  <si>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</si>
  <si>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</si>
  <si>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</si>
  <si>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</si>
  <si>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</si>
  <si>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</si>
  <si>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</si>
  <si>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</si>
  <si>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</si>
  <si>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</si>
  <si>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</si>
  <si>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</si>
  <si>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</si>
  <si>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</si>
  <si>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</si>
  <si>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</si>
  <si>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</si>
  <si>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</si>
  <si>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</si>
  <si>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</si>
  <si>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</si>
  <si>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</si>
  <si>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</si>
  <si>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</si>
  <si>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</si>
  <si>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</si>
  <si>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</si>
  <si>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</si>
  <si>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</si>
  <si>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</si>
  <si>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</si>
  <si>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</si>
  <si>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</si>
  <si>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</si>
  <si>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</si>
  <si>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</si>
  <si>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</si>
  <si>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</si>
  <si>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</si>
  <si>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</si>
  <si>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</si>
  <si>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</si>
  <si>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</si>
  <si>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</si>
  <si>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</si>
  <si>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</si>
  <si>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</si>
  <si>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</si>
  <si>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</si>
  <si>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</si>
  <si>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</si>
  <si>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</si>
  <si>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</si>
  <si>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</si>
  <si>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</si>
  <si>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</si>
  <si>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</si>
  <si>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</si>
  <si>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</si>
  <si>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</si>
  <si>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</si>
  <si>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</si>
  <si>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</si>
  <si>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Sum of Sales</t>
  </si>
  <si>
    <t>Sum of Profit</t>
  </si>
  <si>
    <t xml:space="preserve">Year </t>
  </si>
  <si>
    <t xml:space="preserve">Profit by Year </t>
  </si>
  <si>
    <t>Row Labels</t>
  </si>
  <si>
    <t>Grand Total</t>
  </si>
  <si>
    <t xml:space="preserve">Total Sales </t>
  </si>
  <si>
    <t>Sales by sub category</t>
  </si>
  <si>
    <r>
      <rPr>
        <b/>
        <sz val="12"/>
        <color theme="1"/>
        <rFont val="Calibri"/>
        <family val="2"/>
        <scheme val="minor"/>
      </rPr>
      <t>Total Profit</t>
    </r>
    <r>
      <rPr>
        <sz val="11"/>
        <color theme="1"/>
        <rFont val="Calibri"/>
        <family val="2"/>
        <scheme val="minor"/>
      </rPr>
      <t xml:space="preserve"> </t>
    </r>
  </si>
  <si>
    <t>Customer Count by Year</t>
  </si>
  <si>
    <t>Count of Customer Name</t>
  </si>
  <si>
    <r>
      <rPr>
        <b/>
        <sz val="12"/>
        <color theme="1"/>
        <rFont val="Calibri"/>
        <family val="2"/>
        <scheme val="minor"/>
      </rPr>
      <t>Sales by State</t>
    </r>
    <r>
      <rPr>
        <sz val="11"/>
        <color theme="1"/>
        <rFont val="Calibri"/>
        <family val="2"/>
        <scheme val="minor"/>
      </rPr>
      <t xml:space="preserve"> </t>
    </r>
  </si>
  <si>
    <t>Sales by Month</t>
  </si>
  <si>
    <t>Month</t>
  </si>
  <si>
    <t/>
  </si>
  <si>
    <t>Jan</t>
  </si>
  <si>
    <t>Feb</t>
  </si>
  <si>
    <t>Mar</t>
  </si>
  <si>
    <t>Apr</t>
  </si>
  <si>
    <t>May</t>
  </si>
  <si>
    <t>Jun</t>
  </si>
  <si>
    <t>Jul</t>
  </si>
  <si>
    <t>Aug</t>
  </si>
  <si>
    <t>Sep</t>
  </si>
  <si>
    <t>Oct</t>
  </si>
  <si>
    <t>Nov</t>
  </si>
  <si>
    <t>Dec</t>
  </si>
  <si>
    <t>Top 5 Customer profit</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</si>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</sst>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_(&quot;$&quot;* \(#,##0.00\);_(&quot;$&quot;* &quot;-&quot;??_);_(@_)"/>
    <numFmt numFmtId="164" formatCode="_(&quot;$&quot;* #,##0_);_(&quot;$&quot;* \(#,##0\);_(&quot;$&quot;* &quot;-&quot;??_);_(@_)"/>
    <numFmt numFmtId="165" formatCode="0.0,&quot;k&quot;"/>
  </numFmts>
  <fonts count="5" x14ac:knownFonts="1">
    <font>
      <sz val="11"/>
      <color theme="1"/>
      <name val="Calibri"/>
      <family val="2"/>
      <scheme val="minor"/>
    </font>
    <font>
      <sz val="11"/>
      <color theme="1"/>
      <name val="Calibri"/>
      <family val="2"/>
      <scheme val="minor"/>
    </font>
    <font>
      <b/>
      <sz val="11"/>
      <color theme="1"/>
      <name val="Calibri"/>
      <family val="2"/>
      <scheme val="minor"/>
    </font>
    <font>
      <b/>
      <sz val="12"/>
      <color theme="1"/>
      <name val="Calibri"/>
      <family val="2"/>
      <scheme val="minor"/>
    </font>
    <font>
      <sz val="11"/>
      <color rgb="FF000000"/>
      <name val="Calibri"/>
      <family val="2"/>
      <scheme val="minor"/>
    </font>
  </fonts>
  <fills count="3">
    <fill>
      <patternFill patternType="none"/>
    </fill>
    <fill>
      <patternFill patternType="gray125"/>
    </fill>
    <fill>
      <patternFill patternType="solid">
        <fgColor theme="7" tint="0.59999389629810485"/>
        <bgColor indexed="64"/>
      </patternFill>
    </fill>
  </fills>
  <borders count="1">
    <border>
      <left/>
      <right/>
      <top/>
      <bottom/>
      <diagonal/>
    </border>
  </borders>
  <cellStyleXfs count="2">
    <xf numFmtId="0" fontId="0" fillId="0" borderId="0"/>
    <xf numFmtId="44" fontId="1" fillId="0" borderId="0" applyFont="0" applyFill="0" applyBorder="0" applyAlignment="0" applyProtection="0"/>
  </cellStyleXfs>
  <cellXfs count="17">
    <xf numFmtId="0" fontId="0" fillId="0" borderId="0" xfId="0"/>
    <xf numFmtId="0" fontId="0" fillId="0" borderId="0" xfId="0" applyAlignment="1">
      <alignment horizontal="center" vertical="top"/>
    </xf>
    <xf numFmtId="14" fontId="0" fillId="0" borderId="0" xfId="0" applyNumberFormat="1"/>
    <xf numFmtId="0" fontId="0" fillId="0" borderId="0" xfId="0" pivotButton="1"/>
    <xf numFmtId="0" fontId="3" fillId="0" borderId="0" xfId="0" applyFont="1"/>
    <xf numFmtId="1" fontId="0" fillId="0" borderId="0" xfId="0" applyNumberFormat="1"/>
    <xf numFmtId="1" fontId="0" fillId="0" borderId="0" xfId="0" applyNumberFormat="1" applyAlignment="1">
      <alignment horizontal="left"/>
    </xf>
    <xf numFmtId="0" fontId="2" fillId="0" borderId="0" xfId="0" applyFont="1"/>
    <xf numFmtId="0" fontId="0" fillId="0" borderId="0" xfId="0" applyAlignment="1">
      <alignment horizontal="left"/>
    </xf>
    <xf numFmtId="164" fontId="0" fillId="0" borderId="0" xfId="0" applyNumberFormat="1"/>
    <xf numFmtId="164" fontId="0" fillId="0" borderId="0" xfId="1" applyNumberFormat="1" applyFont="1"/>
    <xf numFmtId="0" fontId="3" fillId="2" borderId="0" xfId="0" applyFont="1" applyFill="1"/>
    <xf numFmtId="0" fontId="0" fillId="2" borderId="0" xfId="0" applyFill="1"/>
    <xf numFmtId="0" fontId="2" fillId="2" borderId="0" xfId="0" applyFont="1" applyFill="1"/>
    <xf numFmtId="1" fontId="3" fillId="0" borderId="0" xfId="0" applyNumberFormat="1" applyFont="1"/>
    <xf numFmtId="0" fontId="4" fillId="0" borderId="0" xfId="0" applyFont="1"/>
    <xf numFmtId="165" fontId="0" fillId="0" borderId="0" xfId="0" applyNumberFormat="1"/>
  </cellXfs>
  <cellStyles count="2">
    <cellStyle name="Currency" xfId="1" builtinId="4"/>
    <cellStyle name="Normal" xfId="0" builtinId="0"/>
  </cellStyles>
  <dxfs count="17">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5" formatCode="0.0,&quot;k&quot;"/>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 formatCode="0"/>
    </dxf>
    <dxf>
      <numFmt numFmtId="19" formatCode="m/d/yyyy"/>
    </dxf>
    <dxf>
      <numFmt numFmtId="19" formatCode="m/d/yyyy"/>
    </dxf>
    <dxf>
      <numFmt numFmtId="19" formatCode="m/d/yyyy"/>
    </dxf>
    <dxf>
      <alignment horizontal="center" vertical="top" textRotation="0" wrapText="0" indent="0" justifyLastLine="0" shrinkToFit="0" readingOrder="0"/>
    </dxf>
    <dxf>
      <font>
        <b/>
        <i val="0"/>
        <sz val="11"/>
        <name val="Calibri"/>
        <family val="2"/>
        <scheme val="minor"/>
      </font>
      <fill>
        <patternFill>
          <bgColor theme="8" tint="0.39994506668294322"/>
        </patternFill>
      </fill>
      <border diagonalUp="0" diagonalDown="0">
        <left/>
        <right/>
        <top/>
        <bottom/>
        <vertical/>
        <horizontal/>
      </border>
    </dxf>
    <dxf>
      <font>
        <b/>
        <i val="0"/>
        <sz val="11"/>
        <name val="Calibri"/>
        <family val="2"/>
        <scheme val="minor"/>
      </font>
      <fill>
        <patternFill>
          <bgColor theme="8" tint="-0.24994659260841701"/>
        </patternFill>
      </fill>
      <border diagonalUp="0" diagonalDown="0">
        <left/>
        <right/>
        <top/>
        <bottom/>
        <vertical/>
        <horizontal/>
      </border>
    </dxf>
    <dxf>
      <font>
        <color rgb="FF0070C0"/>
      </font>
      <fill>
        <patternFill>
          <bgColor rgb="FF0070C0"/>
        </patternFill>
      </fill>
      <border diagonalUp="0" diagonalDown="0">
        <left/>
        <right/>
        <top/>
        <bottom/>
        <vertical/>
        <horizontal/>
      </border>
    </dxf>
  </dxfs>
  <tableStyles count="4" defaultTableStyle="TableStyleMedium2" defaultPivotStyle="PivotStyleLight16">
    <tableStyle name="Slicer Style 1" pivot="0" table="0" count="1" xr9:uid="{81BFE4FA-C77B-4FD9-AADA-345ECB17AAB6}">
      <tableStyleElement type="wholeTable" dxfId="16"/>
    </tableStyle>
    <tableStyle name="Slicer Style 2" pivot="0" table="0" count="1" xr9:uid="{9479725C-E8B9-40DE-89C9-CDCADD5BE09B}">
      <tableStyleElement type="wholeTable" dxfId="15"/>
    </tableStyle>
    <tableStyle name="Slicer Style 3" pivot="0" table="0" count="1" xr9:uid="{30B8D007-B797-4526-950A-565B9DBDD9FF}"/>
    <tableStyle name="Slicer Style 4" pivot="0" table="0" count="1" xr9:uid="{85620422-680C-4A4B-86BD-FE8D45EAF2C0}">
      <tableStyleElement type="wholeTable" dxfId="14"/>
    </tableStyle>
  </tableStyles>
  <colors>
    <mruColors>
      <color rgb="FF0070C0"/>
      <color rgb="FF2E75B6"/>
      <color rgb="FF1F4E79"/>
      <color rgb="FF000000"/>
      <color rgb="FFBDD7EE"/>
    </mruColors>
  </colors>
  <extLst>
    <ext xmlns:x14="http://schemas.microsoft.com/office/spreadsheetml/2009/9/main" uri="{46F421CA-312F-682f-3DD2-61675219B42D}">
      <x14:dxfs count="1">
        <dxf>
          <font>
            <b/>
            <i val="0"/>
            <sz val="11"/>
            <name val="Calibri"/>
            <family val="2"/>
            <scheme val="minor"/>
          </font>
          <fill>
            <patternFill>
              <bgColor theme="4" tint="0.39994506668294322"/>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Elements>
            <x14:slicerStyleElement type="selectedItemWithData" dxfId="0"/>
          </x14:slicerStyleElements>
        </x14:slicerStyle>
        <x14:slicerStyle name="Slicer Style 4"/>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2.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 !PivotTable5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 </a:t>
            </a:r>
            <a:r>
              <a:rPr lang="en-IN" sz="1400" b="1">
                <a:solidFill>
                  <a:sysClr val="windowText" lastClr="000000"/>
                </a:solidFill>
              </a:rPr>
              <a:t>Profit</a:t>
            </a:r>
            <a:r>
              <a:rPr lang="en-IN" sz="1400" b="1" baseline="0">
                <a:solidFill>
                  <a:sysClr val="windowText" lastClr="000000"/>
                </a:solidFill>
              </a:rPr>
              <a:t> by Year</a:t>
            </a:r>
            <a:endParaRPr lang="en-IN" b="1">
              <a:solidFill>
                <a:sysClr val="windowText" lastClr="000000"/>
              </a:solidFill>
            </a:endParaRPr>
          </a:p>
        </c:rich>
      </c:tx>
      <c:layout>
        <c:manualLayout>
          <c:xMode val="edge"/>
          <c:yMode val="edge"/>
          <c:x val="0.36381714416771765"/>
          <c:y val="5.410630077458281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2E75B6"/>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1F4E79"/>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912761431263923E-2"/>
          <c:y val="0.2508503369661596"/>
          <c:w val="0.92617447713747214"/>
          <c:h val="0.57414879765255344"/>
        </c:manualLayout>
      </c:layout>
      <c:barChart>
        <c:barDir val="col"/>
        <c:grouping val="clustered"/>
        <c:varyColors val="0"/>
        <c:ser>
          <c:idx val="0"/>
          <c:order val="0"/>
          <c:tx>
            <c:strRef>
              <c:f>'PIVOT TABLE '!$D$4:$D$5</c:f>
              <c:strCache>
                <c:ptCount val="1"/>
                <c:pt idx="0">
                  <c:v>Furniture</c:v>
                </c:pt>
              </c:strCache>
            </c:strRef>
          </c:tx>
          <c:spPr>
            <a:solidFill>
              <a:schemeClr val="accent1">
                <a:lumMod val="75000"/>
              </a:schemeClr>
            </a:solidFill>
            <a:ln>
              <a:noFill/>
            </a:ln>
            <a:effectLst/>
          </c:spPr>
          <c:invertIfNegative val="0"/>
          <c:cat>
            <c:strRef>
              <c:f>'PIVOT TABLE '!$C$6:$C$10</c:f>
              <c:strCache>
                <c:ptCount val="4"/>
                <c:pt idx="0">
                  <c:v>2014</c:v>
                </c:pt>
                <c:pt idx="1">
                  <c:v>2015</c:v>
                </c:pt>
                <c:pt idx="2">
                  <c:v>2016</c:v>
                </c:pt>
                <c:pt idx="3">
                  <c:v>2017</c:v>
                </c:pt>
              </c:strCache>
            </c:strRef>
          </c:cat>
          <c:val>
            <c:numRef>
              <c:f>'PIVOT TABLE '!$D$6:$D$10</c:f>
              <c:numCache>
                <c:formatCode>_("$"* #,##0_);_("$"* \(#,##0\);_("$"* "-"??_);_(@_)</c:formatCode>
                <c:ptCount val="4"/>
                <c:pt idx="0">
                  <c:v>253.16860000000003</c:v>
                </c:pt>
                <c:pt idx="1">
                  <c:v>-2096.7102000000004</c:v>
                </c:pt>
                <c:pt idx="2">
                  <c:v>-731.05219999999997</c:v>
                </c:pt>
                <c:pt idx="3">
                  <c:v>-543.99249999999995</c:v>
                </c:pt>
              </c:numCache>
            </c:numRef>
          </c:val>
          <c:extLst>
            <c:ext xmlns:c16="http://schemas.microsoft.com/office/drawing/2014/chart" uri="{C3380CC4-5D6E-409C-BE32-E72D297353CC}">
              <c16:uniqueId val="{00000000-8DAE-4288-BCA9-0CAE8E12BCFF}"/>
            </c:ext>
          </c:extLst>
        </c:ser>
        <c:ser>
          <c:idx val="1"/>
          <c:order val="1"/>
          <c:tx>
            <c:strRef>
              <c:f>'PIVOT TABLE '!$E$4:$E$5</c:f>
              <c:strCache>
                <c:ptCount val="1"/>
                <c:pt idx="0">
                  <c:v>Office Supplies</c:v>
                </c:pt>
              </c:strCache>
            </c:strRef>
          </c:tx>
          <c:spPr>
            <a:solidFill>
              <a:srgbClr val="2E75B6"/>
            </a:solidFill>
            <a:ln>
              <a:noFill/>
            </a:ln>
            <a:effectLst>
              <a:outerShdw blurRad="50800" dist="38100" dir="2700000" algn="tl" rotWithShape="0">
                <a:prstClr val="black">
                  <a:alpha val="40000"/>
                </a:prstClr>
              </a:outerShdw>
            </a:effectLst>
          </c:spPr>
          <c:invertIfNegative val="0"/>
          <c:cat>
            <c:strRef>
              <c:f>'PIVOT TABLE '!$C$6:$C$10</c:f>
              <c:strCache>
                <c:ptCount val="4"/>
                <c:pt idx="0">
                  <c:v>2014</c:v>
                </c:pt>
                <c:pt idx="1">
                  <c:v>2015</c:v>
                </c:pt>
                <c:pt idx="2">
                  <c:v>2016</c:v>
                </c:pt>
                <c:pt idx="3">
                  <c:v>2017</c:v>
                </c:pt>
              </c:strCache>
            </c:strRef>
          </c:cat>
          <c:val>
            <c:numRef>
              <c:f>'PIVOT TABLE '!$E$6:$E$10</c:f>
              <c:numCache>
                <c:formatCode>_("$"* #,##0_);_("$"* \(#,##0\);_("$"* "-"??_);_(@_)</c:formatCode>
                <c:ptCount val="4"/>
                <c:pt idx="0">
                  <c:v>84.080299999999937</c:v>
                </c:pt>
                <c:pt idx="1">
                  <c:v>299.34299999999996</c:v>
                </c:pt>
                <c:pt idx="2">
                  <c:v>2895.2823999999973</c:v>
                </c:pt>
                <c:pt idx="3">
                  <c:v>952.88409999999976</c:v>
                </c:pt>
              </c:numCache>
            </c:numRef>
          </c:val>
          <c:extLst>
            <c:ext xmlns:c16="http://schemas.microsoft.com/office/drawing/2014/chart" uri="{C3380CC4-5D6E-409C-BE32-E72D297353CC}">
              <c16:uniqueId val="{00000004-8DAE-4288-BCA9-0CAE8E12BCFF}"/>
            </c:ext>
          </c:extLst>
        </c:ser>
        <c:ser>
          <c:idx val="2"/>
          <c:order val="2"/>
          <c:tx>
            <c:strRef>
              <c:f>'PIVOT TABLE '!$F$4:$F$5</c:f>
              <c:strCache>
                <c:ptCount val="1"/>
                <c:pt idx="0">
                  <c:v>Technology</c:v>
                </c:pt>
              </c:strCache>
            </c:strRef>
          </c:tx>
          <c:spPr>
            <a:solidFill>
              <a:srgbClr val="1F4E79"/>
            </a:solidFill>
            <a:ln>
              <a:noFill/>
            </a:ln>
            <a:effectLst>
              <a:outerShdw blurRad="50800" dist="38100" dir="2700000" algn="tl" rotWithShape="0">
                <a:prstClr val="black">
                  <a:alpha val="40000"/>
                </a:prstClr>
              </a:outerShdw>
            </a:effectLst>
          </c:spPr>
          <c:invertIfNegative val="0"/>
          <c:cat>
            <c:strRef>
              <c:f>'PIVOT TABLE '!$C$6:$C$10</c:f>
              <c:strCache>
                <c:ptCount val="4"/>
                <c:pt idx="0">
                  <c:v>2014</c:v>
                </c:pt>
                <c:pt idx="1">
                  <c:v>2015</c:v>
                </c:pt>
                <c:pt idx="2">
                  <c:v>2016</c:v>
                </c:pt>
                <c:pt idx="3">
                  <c:v>2017</c:v>
                </c:pt>
              </c:strCache>
            </c:strRef>
          </c:cat>
          <c:val>
            <c:numRef>
              <c:f>'PIVOT TABLE '!$F$6:$F$10</c:f>
              <c:numCache>
                <c:formatCode>_("$"* #,##0_);_("$"* \(#,##0\);_("$"* "-"??_);_(@_)</c:formatCode>
                <c:ptCount val="4"/>
                <c:pt idx="0">
                  <c:v>2088.7966999999999</c:v>
                </c:pt>
                <c:pt idx="1">
                  <c:v>-235.27609999999976</c:v>
                </c:pt>
                <c:pt idx="2">
                  <c:v>1777.9453000000003</c:v>
                </c:pt>
                <c:pt idx="3">
                  <c:v>619.04160000000002</c:v>
                </c:pt>
              </c:numCache>
            </c:numRef>
          </c:val>
          <c:extLst>
            <c:ext xmlns:c16="http://schemas.microsoft.com/office/drawing/2014/chart" uri="{C3380CC4-5D6E-409C-BE32-E72D297353CC}">
              <c16:uniqueId val="{00000005-8DAE-4288-BCA9-0CAE8E12BCFF}"/>
            </c:ext>
          </c:extLst>
        </c:ser>
        <c:dLbls>
          <c:showLegendKey val="0"/>
          <c:showVal val="0"/>
          <c:showCatName val="0"/>
          <c:showSerName val="0"/>
          <c:showPercent val="0"/>
          <c:showBubbleSize val="0"/>
        </c:dLbls>
        <c:gapWidth val="150"/>
        <c:axId val="742554096"/>
        <c:axId val="742563216"/>
      </c:barChart>
      <c:catAx>
        <c:axId val="742554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742563216"/>
        <c:crosses val="autoZero"/>
        <c:auto val="1"/>
        <c:lblAlgn val="ctr"/>
        <c:lblOffset val="100"/>
        <c:noMultiLvlLbl val="0"/>
      </c:catAx>
      <c:valAx>
        <c:axId val="742563216"/>
        <c:scaling>
          <c:orientation val="minMax"/>
        </c:scaling>
        <c:delete val="1"/>
        <c:axPos val="l"/>
        <c:numFmt formatCode="_(&quot;$&quot;* #,##0_);_(&quot;$&quot;* \(#,##0\);_(&quot;$&quot;* &quot;-&quot;??_);_(@_)" sourceLinked="1"/>
        <c:majorTickMark val="none"/>
        <c:minorTickMark val="none"/>
        <c:tickLblPos val="nextTo"/>
        <c:crossAx val="7425540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 !PivotTable8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Customer Count </a:t>
            </a:r>
          </a:p>
        </c:rich>
      </c:tx>
      <c:layout>
        <c:manualLayout>
          <c:xMode val="edge"/>
          <c:yMode val="edge"/>
          <c:x val="0.31880205360926078"/>
          <c:y val="2.713507842037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5"/>
          </a:solidFill>
          <a:ln w="19050">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1F4E79"/>
          </a:solidFill>
          <a:ln w="19050">
            <a:noFill/>
          </a:ln>
          <a:effectLst>
            <a:outerShdw blurRad="50800" dist="38100" dir="2700000" algn="tl" rotWithShape="0">
              <a:prstClr val="black">
                <a:alpha val="4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2E75B6"/>
          </a:solidFill>
          <a:ln w="19050">
            <a:noFill/>
          </a:ln>
          <a:effectLst>
            <a:outerShdw blurRad="50800" dist="38100" dir="2700000" algn="tl" rotWithShape="0">
              <a:prstClr val="black">
                <a:alpha val="4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2060"/>
          </a:solidFill>
          <a:ln w="19050">
            <a:noFill/>
          </a:ln>
          <a:effectLst>
            <a:outerShdw blurRad="50800" dist="38100" dir="2700000" algn="tl" rotWithShape="0">
              <a:prstClr val="black">
                <a:alpha val="4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070C0"/>
          </a:solidFill>
          <a:ln w="19050">
            <a:noFill/>
          </a:ln>
          <a:effectLst>
            <a:outerShdw blurRad="50800" dist="38100" dir="2700000" algn="tl" rotWithShape="0">
              <a:prstClr val="black">
                <a:alpha val="4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018257877010802"/>
          <c:y val="0.19290949094592882"/>
          <c:w val="0.3989130821707812"/>
          <c:h val="0.78555204055789718"/>
        </c:manualLayout>
      </c:layout>
      <c:doughnutChart>
        <c:varyColors val="1"/>
        <c:ser>
          <c:idx val="0"/>
          <c:order val="0"/>
          <c:tx>
            <c:strRef>
              <c:f>'PIVOT TABLE '!$U$4</c:f>
              <c:strCache>
                <c:ptCount val="1"/>
                <c:pt idx="0">
                  <c:v>Total</c:v>
                </c:pt>
              </c:strCache>
            </c:strRef>
          </c:tx>
          <c:spPr>
            <a:solidFill>
              <a:schemeClr val="accent5"/>
            </a:solidFill>
            <a:ln>
              <a:noFill/>
            </a:ln>
            <a:effectLst>
              <a:outerShdw blurRad="50800" dist="38100" dir="2700000" algn="tl" rotWithShape="0">
                <a:prstClr val="black">
                  <a:alpha val="40000"/>
                </a:prstClr>
              </a:outerShdw>
            </a:effectLst>
          </c:spPr>
          <c:explosion val="7"/>
          <c:dPt>
            <c:idx val="0"/>
            <c:bubble3D val="0"/>
            <c:spPr>
              <a:solidFill>
                <a:srgbClr val="1F4E79"/>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CF08-434E-A10A-113B1768368D}"/>
              </c:ext>
            </c:extLst>
          </c:dPt>
          <c:dPt>
            <c:idx val="1"/>
            <c:bubble3D val="0"/>
            <c:spPr>
              <a:solidFill>
                <a:srgbClr val="2E75B6"/>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CF08-434E-A10A-113B1768368D}"/>
              </c:ext>
            </c:extLst>
          </c:dPt>
          <c:dPt>
            <c:idx val="2"/>
            <c:bubble3D val="0"/>
            <c:spPr>
              <a:solidFill>
                <a:srgbClr val="002060"/>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5-CF08-434E-A10A-113B1768368D}"/>
              </c:ext>
            </c:extLst>
          </c:dPt>
          <c:dPt>
            <c:idx val="3"/>
            <c:bubble3D val="0"/>
            <c:spPr>
              <a:solidFill>
                <a:srgbClr val="0070C0"/>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7-CF08-434E-A10A-113B1768368D}"/>
              </c:ext>
            </c:extLst>
          </c:dPt>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F08-434E-A10A-113B1768368D}"/>
                </c:ext>
              </c:extLst>
            </c:dLbl>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F08-434E-A10A-113B1768368D}"/>
                </c:ext>
              </c:extLst>
            </c:dLbl>
            <c:dLbl>
              <c:idx val="2"/>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F08-434E-A10A-113B1768368D}"/>
                </c:ext>
              </c:extLst>
            </c:dLbl>
            <c:dLbl>
              <c:idx val="3"/>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F08-434E-A10A-113B1768368D}"/>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s>
          <c:cat>
            <c:strRef>
              <c:f>'PIVOT TABLE '!$T$5:$T$9</c:f>
              <c:strCache>
                <c:ptCount val="4"/>
                <c:pt idx="0">
                  <c:v>2014</c:v>
                </c:pt>
                <c:pt idx="1">
                  <c:v>2015</c:v>
                </c:pt>
                <c:pt idx="2">
                  <c:v>2016</c:v>
                </c:pt>
                <c:pt idx="3">
                  <c:v>2017</c:v>
                </c:pt>
              </c:strCache>
            </c:strRef>
          </c:cat>
          <c:val>
            <c:numRef>
              <c:f>'PIVOT TABLE '!$U$5:$U$9</c:f>
              <c:numCache>
                <c:formatCode>General</c:formatCode>
                <c:ptCount val="4"/>
                <c:pt idx="0">
                  <c:v>48</c:v>
                </c:pt>
                <c:pt idx="1">
                  <c:v>62</c:v>
                </c:pt>
                <c:pt idx="2">
                  <c:v>70</c:v>
                </c:pt>
                <c:pt idx="3">
                  <c:v>42</c:v>
                </c:pt>
              </c:numCache>
            </c:numRef>
          </c:val>
          <c:extLst>
            <c:ext xmlns:c16="http://schemas.microsoft.com/office/drawing/2014/chart" uri="{C3380CC4-5D6E-409C-BE32-E72D297353CC}">
              <c16:uniqueId val="{00000008-CF08-434E-A10A-113B1768368D}"/>
            </c:ext>
          </c:extLst>
        </c:ser>
        <c:dLbls>
          <c:showLegendKey val="0"/>
          <c:showVal val="0"/>
          <c:showCatName val="0"/>
          <c:showSerName val="0"/>
          <c:showPercent val="0"/>
          <c:showBubbleSize val="0"/>
          <c:showLeaderLines val="1"/>
        </c:dLbls>
        <c:firstSliceAng val="0"/>
        <c:holeSize val="60"/>
      </c:doughnutChart>
      <c:spPr>
        <a:noFill/>
        <a:ln>
          <a:noFill/>
        </a:ln>
        <a:effectLst/>
      </c:spPr>
    </c:plotArea>
    <c:legend>
      <c:legendPos val="r"/>
      <c:layout>
        <c:manualLayout>
          <c:xMode val="edge"/>
          <c:yMode val="edge"/>
          <c:x val="0.740684463694958"/>
          <c:y val="0.22211588035239418"/>
          <c:w val="0.19004469160838117"/>
          <c:h val="0.67128566001555745"/>
        </c:manualLayout>
      </c:layout>
      <c:overlay val="0"/>
      <c:spPr>
        <a:noFill/>
        <a:ln>
          <a:noFill/>
        </a:ln>
        <a:effectLst/>
      </c:spPr>
      <c:txPr>
        <a:bodyPr rot="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 !PivotTable10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Top 5 Customer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917075852918009"/>
          <c:y val="0.15544276677799687"/>
          <c:w val="0.70019060692894053"/>
          <c:h val="0.80715264857277724"/>
        </c:manualLayout>
      </c:layout>
      <c:barChart>
        <c:barDir val="bar"/>
        <c:grouping val="stacked"/>
        <c:varyColors val="0"/>
        <c:ser>
          <c:idx val="0"/>
          <c:order val="0"/>
          <c:tx>
            <c:strRef>
              <c:f>'PIVOT TABLE '!$AD$4</c:f>
              <c:strCache>
                <c:ptCount val="1"/>
                <c:pt idx="0">
                  <c:v>Total</c:v>
                </c:pt>
              </c:strCache>
            </c:strRef>
          </c:tx>
          <c:spPr>
            <a:solidFill>
              <a:srgbClr val="0070C0"/>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'!$AC$5:$AC$10</c:f>
              <c:strCache>
                <c:ptCount val="5"/>
                <c:pt idx="0">
                  <c:v>Jack Garza</c:v>
                </c:pt>
                <c:pt idx="1">
                  <c:v>Justin Ellison</c:v>
                </c:pt>
                <c:pt idx="2">
                  <c:v>Dianna Wilson</c:v>
                </c:pt>
                <c:pt idx="3">
                  <c:v>Adam Bellavance</c:v>
                </c:pt>
                <c:pt idx="4">
                  <c:v>Nathan Mautz</c:v>
                </c:pt>
              </c:strCache>
            </c:strRef>
          </c:cat>
          <c:val>
            <c:numRef>
              <c:f>'PIVOT TABLE '!$AD$5:$AD$10</c:f>
              <c:numCache>
                <c:formatCode>_("$"* #,##0_);_("$"* \(#,##0\);_("$"* "-"??_);_(@_)</c:formatCode>
                <c:ptCount val="5"/>
                <c:pt idx="0">
                  <c:v>729.70650000000001</c:v>
                </c:pt>
                <c:pt idx="1">
                  <c:v>775.98080000000004</c:v>
                </c:pt>
                <c:pt idx="2">
                  <c:v>1154.6735000000001</c:v>
                </c:pt>
                <c:pt idx="3">
                  <c:v>1453.4346</c:v>
                </c:pt>
                <c:pt idx="4">
                  <c:v>2242.8403999999996</c:v>
                </c:pt>
              </c:numCache>
            </c:numRef>
          </c:val>
          <c:extLst>
            <c:ext xmlns:c16="http://schemas.microsoft.com/office/drawing/2014/chart" uri="{C3380CC4-5D6E-409C-BE32-E72D297353CC}">
              <c16:uniqueId val="{00000001-963B-4E32-A340-3F40C5DB1BCF}"/>
            </c:ext>
          </c:extLst>
        </c:ser>
        <c:dLbls>
          <c:dLblPos val="ctr"/>
          <c:showLegendKey val="0"/>
          <c:showVal val="1"/>
          <c:showCatName val="0"/>
          <c:showSerName val="0"/>
          <c:showPercent val="0"/>
          <c:showBubbleSize val="0"/>
        </c:dLbls>
        <c:gapWidth val="100"/>
        <c:overlap val="100"/>
        <c:axId val="954956576"/>
        <c:axId val="954949376"/>
      </c:barChart>
      <c:catAx>
        <c:axId val="9549565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954949376"/>
        <c:crosses val="autoZero"/>
        <c:auto val="1"/>
        <c:lblAlgn val="ctr"/>
        <c:lblOffset val="100"/>
        <c:noMultiLvlLbl val="0"/>
      </c:catAx>
      <c:valAx>
        <c:axId val="954949376"/>
        <c:scaling>
          <c:orientation val="minMax"/>
        </c:scaling>
        <c:delete val="1"/>
        <c:axPos val="b"/>
        <c:numFmt formatCode="_(&quot;$&quot;* #,##0_);_(&quot;$&quot;* \(#,##0\);_(&quot;$&quot;* &quot;-&quot;??_);_(@_)" sourceLinked="1"/>
        <c:majorTickMark val="none"/>
        <c:minorTickMark val="none"/>
        <c:tickLblPos val="nextTo"/>
        <c:crossAx val="954956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 !PivotTable11</c:name>
    <c:fmtId val="2"/>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Sales by Month</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rgbClr val="0070C0"/>
          </a:solidFill>
          <a:ln>
            <a:solidFill>
              <a:srgbClr val="2E75B6"/>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70C0"/>
          </a:solidFill>
          <a:ln>
            <a:solidFill>
              <a:srgbClr val="2E75B6"/>
            </a:solidFill>
          </a:ln>
          <a:effectLst/>
        </c:spPr>
        <c:dLbl>
          <c:idx val="0"/>
          <c:layout>
            <c:manualLayout>
              <c:x val="-4.5702232231526409E-18"/>
              <c:y val="-9.185994670646033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70C0"/>
          </a:solidFill>
          <a:ln>
            <a:solidFill>
              <a:srgbClr val="2E75B6"/>
            </a:solidFill>
          </a:ln>
          <a:effectLst/>
        </c:spPr>
        <c:dLbl>
          <c:idx val="0"/>
          <c:layout>
            <c:manualLayout>
              <c:x val="-1.8280892892610564E-17"/>
              <c:y val="-7.4537102653870563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5"/>
        <c:spPr>
          <a:solidFill>
            <a:srgbClr val="0070C0"/>
          </a:solidFill>
          <a:ln>
            <a:solidFill>
              <a:srgbClr val="2E75B6"/>
            </a:solidFill>
          </a:ln>
          <a:effectLst/>
        </c:spPr>
        <c:dLbl>
          <c:idx val="0"/>
          <c:layout>
            <c:manualLayout>
              <c:x val="-1.9943022627322434E-3"/>
              <c:y val="-8.679613727729433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70C0"/>
          </a:solidFill>
          <a:ln>
            <a:solidFill>
              <a:srgbClr val="2E75B6"/>
            </a:solidFill>
          </a:ln>
          <a:effectLst/>
        </c:spPr>
        <c:dLbl>
          <c:idx val="0"/>
          <c:layout>
            <c:manualLayout>
              <c:x val="7.9111472269171226E-3"/>
              <c:y val="-9.1024194287184904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70C0"/>
          </a:solidFill>
          <a:ln>
            <a:solidFill>
              <a:srgbClr val="2E75B6"/>
            </a:solidFill>
          </a:ln>
          <a:effectLst/>
        </c:spPr>
        <c:dLbl>
          <c:idx val="0"/>
          <c:layout>
            <c:manualLayout>
              <c:x val="0"/>
              <c:y val="-7.423951900055335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70C0"/>
          </a:solidFill>
          <a:ln>
            <a:solidFill>
              <a:srgbClr val="2E75B6"/>
            </a:solidFill>
          </a:ln>
          <a:effectLst/>
        </c:spPr>
        <c:dLbl>
          <c:idx val="0"/>
          <c:layout>
            <c:manualLayout>
              <c:x val="-3.3015023860435161E-5"/>
              <c:y val="-0.1697725242411517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70C0"/>
          </a:solidFill>
          <a:ln>
            <a:solidFill>
              <a:srgbClr val="2E75B6"/>
            </a:solidFill>
          </a:ln>
          <a:effectLst/>
        </c:spPr>
        <c:dLbl>
          <c:idx val="0"/>
          <c:layout>
            <c:manualLayout>
              <c:x val="-7.3123571570442255E-17"/>
              <c:y val="-9.254308582301701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070C0"/>
          </a:solidFill>
          <a:ln>
            <a:solidFill>
              <a:srgbClr val="2E75B6"/>
            </a:solidFill>
          </a:ln>
          <a:effectLst/>
        </c:spPr>
        <c:dLbl>
          <c:idx val="0"/>
          <c:layout>
            <c:manualLayout>
              <c:x val="-3.9555736134585431E-3"/>
              <c:y val="-0.10019905518949429"/>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070C0"/>
          </a:solidFill>
          <a:ln>
            <a:solidFill>
              <a:srgbClr val="2E75B6"/>
            </a:solidFill>
          </a:ln>
          <a:effectLst/>
        </c:spPr>
        <c:dLbl>
          <c:idx val="0"/>
          <c:layout>
            <c:manualLayout>
              <c:x val="-1.9943022627322065E-3"/>
              <c:y val="-0.30854591829808214"/>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0070C0"/>
          </a:solidFill>
          <a:ln>
            <a:solidFill>
              <a:srgbClr val="2E75B6"/>
            </a:solidFill>
          </a:ln>
          <a:effectLst/>
        </c:spPr>
        <c:dLbl>
          <c:idx val="0"/>
          <c:layout>
            <c:manualLayout>
              <c:x val="-3.9885886373189064E-3"/>
              <c:y val="-9.690159132947578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0070C0"/>
          </a:solidFill>
          <a:ln>
            <a:solidFill>
              <a:srgbClr val="2E75B6"/>
            </a:solidFill>
          </a:ln>
          <a:effectLst/>
        </c:spPr>
        <c:dLbl>
          <c:idx val="0"/>
          <c:layout>
            <c:manualLayout>
              <c:x val="-3.9886045254644131E-3"/>
              <c:y val="-0.176940090654407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0070C0"/>
          </a:solidFill>
          <a:ln>
            <a:solidFill>
              <a:srgbClr val="2E75B6"/>
            </a:solidFill>
          </a:ln>
          <a:effectLst/>
        </c:spPr>
        <c:dLbl>
          <c:idx val="0"/>
          <c:layout>
            <c:manualLayout>
              <c:x val="1.9612792947989455E-3"/>
              <c:y val="-0.1959578928639324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1937324890054274E-2"/>
          <c:y val="0.17993113219176335"/>
          <c:w val="0.95612535021989142"/>
          <c:h val="0.64085074170553447"/>
        </c:manualLayout>
      </c:layout>
      <c:barChart>
        <c:barDir val="col"/>
        <c:grouping val="stacked"/>
        <c:varyColors val="0"/>
        <c:ser>
          <c:idx val="0"/>
          <c:order val="0"/>
          <c:tx>
            <c:strRef>
              <c:f>'PIVOT TABLE '!$AG$4</c:f>
              <c:strCache>
                <c:ptCount val="1"/>
                <c:pt idx="0">
                  <c:v>Total</c:v>
                </c:pt>
              </c:strCache>
            </c:strRef>
          </c:tx>
          <c:spPr>
            <a:solidFill>
              <a:srgbClr val="0070C0"/>
            </a:solidFill>
            <a:ln>
              <a:solidFill>
                <a:srgbClr val="2E75B6"/>
              </a:solidFill>
            </a:ln>
            <a:effectLst/>
          </c:spPr>
          <c:invertIfNegative val="0"/>
          <c:dPt>
            <c:idx val="0"/>
            <c:invertIfNegative val="0"/>
            <c:bubble3D val="0"/>
            <c:spPr>
              <a:solidFill>
                <a:srgbClr val="0070C0"/>
              </a:solidFill>
              <a:ln>
                <a:solidFill>
                  <a:srgbClr val="2E75B6"/>
                </a:solidFill>
              </a:ln>
              <a:effectLst/>
            </c:spPr>
            <c:extLst>
              <c:ext xmlns:c16="http://schemas.microsoft.com/office/drawing/2014/chart" uri="{C3380CC4-5D6E-409C-BE32-E72D297353CC}">
                <c16:uniqueId val="{00000001-B4A1-4C34-95EC-D049F9281A9A}"/>
              </c:ext>
            </c:extLst>
          </c:dPt>
          <c:dPt>
            <c:idx val="1"/>
            <c:invertIfNegative val="0"/>
            <c:bubble3D val="0"/>
            <c:spPr>
              <a:solidFill>
                <a:srgbClr val="0070C0"/>
              </a:solidFill>
              <a:ln>
                <a:solidFill>
                  <a:srgbClr val="2E75B6"/>
                </a:solidFill>
              </a:ln>
              <a:effectLst/>
            </c:spPr>
            <c:extLst>
              <c:ext xmlns:c16="http://schemas.microsoft.com/office/drawing/2014/chart" uri="{C3380CC4-5D6E-409C-BE32-E72D297353CC}">
                <c16:uniqueId val="{00000002-B4A1-4C34-95EC-D049F9281A9A}"/>
              </c:ext>
            </c:extLst>
          </c:dPt>
          <c:dPt>
            <c:idx val="2"/>
            <c:invertIfNegative val="0"/>
            <c:bubble3D val="0"/>
            <c:spPr>
              <a:solidFill>
                <a:srgbClr val="0070C0"/>
              </a:solidFill>
              <a:ln>
                <a:solidFill>
                  <a:srgbClr val="2E75B6"/>
                </a:solidFill>
              </a:ln>
              <a:effectLst/>
            </c:spPr>
            <c:extLst>
              <c:ext xmlns:c16="http://schemas.microsoft.com/office/drawing/2014/chart" uri="{C3380CC4-5D6E-409C-BE32-E72D297353CC}">
                <c16:uniqueId val="{00000003-B4A1-4C34-95EC-D049F9281A9A}"/>
              </c:ext>
            </c:extLst>
          </c:dPt>
          <c:dPt>
            <c:idx val="3"/>
            <c:invertIfNegative val="0"/>
            <c:bubble3D val="0"/>
            <c:spPr>
              <a:solidFill>
                <a:srgbClr val="0070C0"/>
              </a:solidFill>
              <a:ln>
                <a:solidFill>
                  <a:srgbClr val="2E75B6"/>
                </a:solidFill>
              </a:ln>
              <a:effectLst/>
            </c:spPr>
            <c:extLst>
              <c:ext xmlns:c16="http://schemas.microsoft.com/office/drawing/2014/chart" uri="{C3380CC4-5D6E-409C-BE32-E72D297353CC}">
                <c16:uniqueId val="{00000004-B4A1-4C34-95EC-D049F9281A9A}"/>
              </c:ext>
            </c:extLst>
          </c:dPt>
          <c:dPt>
            <c:idx val="4"/>
            <c:invertIfNegative val="0"/>
            <c:bubble3D val="0"/>
            <c:spPr>
              <a:solidFill>
                <a:srgbClr val="0070C0"/>
              </a:solidFill>
              <a:ln>
                <a:solidFill>
                  <a:srgbClr val="2E75B6"/>
                </a:solidFill>
              </a:ln>
              <a:effectLst/>
            </c:spPr>
            <c:extLst>
              <c:ext xmlns:c16="http://schemas.microsoft.com/office/drawing/2014/chart" uri="{C3380CC4-5D6E-409C-BE32-E72D297353CC}">
                <c16:uniqueId val="{00000005-B4A1-4C34-95EC-D049F9281A9A}"/>
              </c:ext>
            </c:extLst>
          </c:dPt>
          <c:dPt>
            <c:idx val="5"/>
            <c:invertIfNegative val="0"/>
            <c:bubble3D val="0"/>
            <c:spPr>
              <a:solidFill>
                <a:srgbClr val="0070C0"/>
              </a:solidFill>
              <a:ln>
                <a:solidFill>
                  <a:srgbClr val="2E75B6"/>
                </a:solidFill>
              </a:ln>
              <a:effectLst/>
            </c:spPr>
            <c:extLst>
              <c:ext xmlns:c16="http://schemas.microsoft.com/office/drawing/2014/chart" uri="{C3380CC4-5D6E-409C-BE32-E72D297353CC}">
                <c16:uniqueId val="{00000006-B4A1-4C34-95EC-D049F9281A9A}"/>
              </c:ext>
            </c:extLst>
          </c:dPt>
          <c:dPt>
            <c:idx val="6"/>
            <c:invertIfNegative val="0"/>
            <c:bubble3D val="0"/>
            <c:spPr>
              <a:solidFill>
                <a:srgbClr val="0070C0"/>
              </a:solidFill>
              <a:ln>
                <a:solidFill>
                  <a:srgbClr val="2E75B6"/>
                </a:solidFill>
              </a:ln>
              <a:effectLst/>
            </c:spPr>
            <c:extLst>
              <c:ext xmlns:c16="http://schemas.microsoft.com/office/drawing/2014/chart" uri="{C3380CC4-5D6E-409C-BE32-E72D297353CC}">
                <c16:uniqueId val="{00000007-B4A1-4C34-95EC-D049F9281A9A}"/>
              </c:ext>
            </c:extLst>
          </c:dPt>
          <c:dPt>
            <c:idx val="7"/>
            <c:invertIfNegative val="0"/>
            <c:bubble3D val="0"/>
            <c:spPr>
              <a:solidFill>
                <a:srgbClr val="0070C0"/>
              </a:solidFill>
              <a:ln>
                <a:solidFill>
                  <a:srgbClr val="2E75B6"/>
                </a:solidFill>
              </a:ln>
              <a:effectLst/>
            </c:spPr>
            <c:extLst>
              <c:ext xmlns:c16="http://schemas.microsoft.com/office/drawing/2014/chart" uri="{C3380CC4-5D6E-409C-BE32-E72D297353CC}">
                <c16:uniqueId val="{00000008-B4A1-4C34-95EC-D049F9281A9A}"/>
              </c:ext>
            </c:extLst>
          </c:dPt>
          <c:dPt>
            <c:idx val="8"/>
            <c:invertIfNegative val="0"/>
            <c:bubble3D val="0"/>
            <c:spPr>
              <a:solidFill>
                <a:srgbClr val="0070C0"/>
              </a:solidFill>
              <a:ln>
                <a:solidFill>
                  <a:srgbClr val="2E75B6"/>
                </a:solidFill>
              </a:ln>
              <a:effectLst/>
            </c:spPr>
            <c:extLst>
              <c:ext xmlns:c16="http://schemas.microsoft.com/office/drawing/2014/chart" uri="{C3380CC4-5D6E-409C-BE32-E72D297353CC}">
                <c16:uniqueId val="{00000009-B4A1-4C34-95EC-D049F9281A9A}"/>
              </c:ext>
            </c:extLst>
          </c:dPt>
          <c:dPt>
            <c:idx val="9"/>
            <c:invertIfNegative val="0"/>
            <c:bubble3D val="0"/>
            <c:spPr>
              <a:solidFill>
                <a:srgbClr val="0070C0"/>
              </a:solidFill>
              <a:ln>
                <a:solidFill>
                  <a:srgbClr val="2E75B6"/>
                </a:solidFill>
              </a:ln>
              <a:effectLst/>
            </c:spPr>
            <c:extLst>
              <c:ext xmlns:c16="http://schemas.microsoft.com/office/drawing/2014/chart" uri="{C3380CC4-5D6E-409C-BE32-E72D297353CC}">
                <c16:uniqueId val="{0000000A-B4A1-4C34-95EC-D049F9281A9A}"/>
              </c:ext>
            </c:extLst>
          </c:dPt>
          <c:dPt>
            <c:idx val="10"/>
            <c:invertIfNegative val="0"/>
            <c:bubble3D val="0"/>
            <c:spPr>
              <a:solidFill>
                <a:srgbClr val="0070C0"/>
              </a:solidFill>
              <a:ln>
                <a:solidFill>
                  <a:srgbClr val="2E75B6"/>
                </a:solidFill>
              </a:ln>
              <a:effectLst/>
            </c:spPr>
            <c:extLst>
              <c:ext xmlns:c16="http://schemas.microsoft.com/office/drawing/2014/chart" uri="{C3380CC4-5D6E-409C-BE32-E72D297353CC}">
                <c16:uniqueId val="{0000000B-B4A1-4C34-95EC-D049F9281A9A}"/>
              </c:ext>
            </c:extLst>
          </c:dPt>
          <c:dPt>
            <c:idx val="11"/>
            <c:invertIfNegative val="0"/>
            <c:bubble3D val="0"/>
            <c:spPr>
              <a:solidFill>
                <a:srgbClr val="0070C0"/>
              </a:solidFill>
              <a:ln>
                <a:solidFill>
                  <a:srgbClr val="2E75B6"/>
                </a:solidFill>
              </a:ln>
              <a:effectLst/>
            </c:spPr>
            <c:extLst>
              <c:ext xmlns:c16="http://schemas.microsoft.com/office/drawing/2014/chart" uri="{C3380CC4-5D6E-409C-BE32-E72D297353CC}">
                <c16:uniqueId val="{0000000C-B4A1-4C34-95EC-D049F9281A9A}"/>
              </c:ext>
            </c:extLst>
          </c:dPt>
          <c:dLbls>
            <c:dLbl>
              <c:idx val="0"/>
              <c:layout>
                <c:manualLayout>
                  <c:x val="-4.5702232231526409E-18"/>
                  <c:y val="-9.1859946706460333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4A1-4C34-95EC-D049F9281A9A}"/>
                </c:ext>
              </c:extLst>
            </c:dLbl>
            <c:dLbl>
              <c:idx val="1"/>
              <c:layout>
                <c:manualLayout>
                  <c:x val="-1.8280892892610564E-17"/>
                  <c:y val="-7.4537102653870563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2-B4A1-4C34-95EC-D049F9281A9A}"/>
                </c:ext>
              </c:extLst>
            </c:dLbl>
            <c:dLbl>
              <c:idx val="2"/>
              <c:layout>
                <c:manualLayout>
                  <c:x val="-1.9943022627322434E-3"/>
                  <c:y val="-8.6796137277294336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4A1-4C34-95EC-D049F9281A9A}"/>
                </c:ext>
              </c:extLst>
            </c:dLbl>
            <c:dLbl>
              <c:idx val="3"/>
              <c:layout>
                <c:manualLayout>
                  <c:x val="7.9111472269171226E-3"/>
                  <c:y val="-9.1024194287184904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4A1-4C34-95EC-D049F9281A9A}"/>
                </c:ext>
              </c:extLst>
            </c:dLbl>
            <c:dLbl>
              <c:idx val="4"/>
              <c:layout>
                <c:manualLayout>
                  <c:x val="0"/>
                  <c:y val="-7.4239519000553353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4A1-4C34-95EC-D049F9281A9A}"/>
                </c:ext>
              </c:extLst>
            </c:dLbl>
            <c:dLbl>
              <c:idx val="5"/>
              <c:layout>
                <c:manualLayout>
                  <c:x val="-3.3015023860435161E-5"/>
                  <c:y val="-0.1697725242411517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4A1-4C34-95EC-D049F9281A9A}"/>
                </c:ext>
              </c:extLst>
            </c:dLbl>
            <c:dLbl>
              <c:idx val="6"/>
              <c:layout>
                <c:manualLayout>
                  <c:x val="-7.3123571570442255E-17"/>
                  <c:y val="-9.2543085823017013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4A1-4C34-95EC-D049F9281A9A}"/>
                </c:ext>
              </c:extLst>
            </c:dLbl>
            <c:dLbl>
              <c:idx val="7"/>
              <c:layout>
                <c:manualLayout>
                  <c:x val="-3.9555736134585431E-3"/>
                  <c:y val="-0.1001990551894942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4A1-4C34-95EC-D049F9281A9A}"/>
                </c:ext>
              </c:extLst>
            </c:dLbl>
            <c:dLbl>
              <c:idx val="8"/>
              <c:layout>
                <c:manualLayout>
                  <c:x val="-1.9943022627322065E-3"/>
                  <c:y val="-0.3085459182980821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4A1-4C34-95EC-D049F9281A9A}"/>
                </c:ext>
              </c:extLst>
            </c:dLbl>
            <c:dLbl>
              <c:idx val="9"/>
              <c:layout>
                <c:manualLayout>
                  <c:x val="-3.9885886373189064E-3"/>
                  <c:y val="-9.6901591329475789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B4A1-4C34-95EC-D049F9281A9A}"/>
                </c:ext>
              </c:extLst>
            </c:dLbl>
            <c:dLbl>
              <c:idx val="10"/>
              <c:layout>
                <c:manualLayout>
                  <c:x val="-3.9886045254644131E-3"/>
                  <c:y val="-0.1769400906544071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B4A1-4C34-95EC-D049F9281A9A}"/>
                </c:ext>
              </c:extLst>
            </c:dLbl>
            <c:dLbl>
              <c:idx val="11"/>
              <c:layout>
                <c:manualLayout>
                  <c:x val="1.9612792947989455E-3"/>
                  <c:y val="-0.1959578928639324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B4A1-4C34-95EC-D049F9281A9A}"/>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'!$AF$5:$AF$17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 '!$AG$5:$AG$17</c:f>
              <c:numCache>
                <c:formatCode>0.0,"k"</c:formatCode>
                <c:ptCount val="12"/>
                <c:pt idx="0">
                  <c:v>2488.3240000000001</c:v>
                </c:pt>
                <c:pt idx="1">
                  <c:v>861.36200000000008</c:v>
                </c:pt>
                <c:pt idx="2">
                  <c:v>2774.3328000000001</c:v>
                </c:pt>
                <c:pt idx="3">
                  <c:v>8681.1585000000014</c:v>
                </c:pt>
                <c:pt idx="4">
                  <c:v>814.97399999999993</c:v>
                </c:pt>
                <c:pt idx="5">
                  <c:v>14645.988999999998</c:v>
                </c:pt>
                <c:pt idx="6">
                  <c:v>3671.0880000000006</c:v>
                </c:pt>
                <c:pt idx="7">
                  <c:v>5941.8580000000002</c:v>
                </c:pt>
                <c:pt idx="8">
                  <c:v>41174.699599999993</c:v>
                </c:pt>
                <c:pt idx="9">
                  <c:v>10674.363499999999</c:v>
                </c:pt>
                <c:pt idx="10">
                  <c:v>15764.404500000004</c:v>
                </c:pt>
                <c:pt idx="11">
                  <c:v>21933.762200000001</c:v>
                </c:pt>
              </c:numCache>
            </c:numRef>
          </c:val>
          <c:extLst>
            <c:ext xmlns:c16="http://schemas.microsoft.com/office/drawing/2014/chart" uri="{C3380CC4-5D6E-409C-BE32-E72D297353CC}">
              <c16:uniqueId val="{00000000-B4A1-4C34-95EC-D049F9281A9A}"/>
            </c:ext>
          </c:extLst>
        </c:ser>
        <c:dLbls>
          <c:dLblPos val="ctr"/>
          <c:showLegendKey val="0"/>
          <c:showVal val="1"/>
          <c:showCatName val="0"/>
          <c:showSerName val="0"/>
          <c:showPercent val="0"/>
          <c:showBubbleSize val="0"/>
        </c:dLbls>
        <c:gapWidth val="50"/>
        <c:overlap val="100"/>
        <c:axId val="954934976"/>
        <c:axId val="954937376"/>
      </c:barChart>
      <c:catAx>
        <c:axId val="954934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crossAx val="954937376"/>
        <c:crosses val="autoZero"/>
        <c:auto val="1"/>
        <c:lblAlgn val="ctr"/>
        <c:lblOffset val="100"/>
        <c:noMultiLvlLbl val="0"/>
      </c:catAx>
      <c:valAx>
        <c:axId val="954937376"/>
        <c:scaling>
          <c:orientation val="minMax"/>
        </c:scaling>
        <c:delete val="1"/>
        <c:axPos val="l"/>
        <c:numFmt formatCode="0.0,&quot;k&quot;" sourceLinked="1"/>
        <c:majorTickMark val="none"/>
        <c:minorTickMark val="none"/>
        <c:tickLblPos val="nextTo"/>
        <c:crossAx val="954934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tx>
        <cx:txData>
          <cx:v>Sales by Category</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solidFill>
              <a:latin typeface="Calibri" panose="020F0502020204030204"/>
            </a:rPr>
            <a:t>Sales by Category</a:t>
          </a:r>
        </a:p>
      </cx:txPr>
    </cx:title>
    <cx:plotArea>
      <cx:plotAreaRegion>
        <cx:plotSurface>
          <cx:spPr>
            <a:noFill/>
            <a:ln>
              <a:noFill/>
            </a:ln>
          </cx:spPr>
        </cx:plotSurface>
        <cx:series layoutId="funnel" uniqueId="{487C18B0-2ECC-49F6-B7B1-07D89EAA01AC}">
          <cx:tx>
            <cx:txData>
              <cx:f>_xlchart.v2.1</cx:f>
              <cx:v>Sales</cx:v>
            </cx:txData>
          </cx:tx>
          <cx:spPr>
            <a:solidFill>
              <a:srgbClr val="2E75B6"/>
            </a:solidFill>
            <a:effectLst>
              <a:outerShdw blurRad="50800" dist="38100" dir="2700000" algn="tl" rotWithShape="0">
                <a:prstClr val="black">
                  <a:alpha val="40000"/>
                </a:prstClr>
              </a:outerShdw>
            </a:effectLst>
          </cx:spPr>
          <cx:dataLabels>
            <cx:txPr>
              <a:bodyPr spcFirstLastPara="1" vertOverflow="ellipsis" horzOverflow="overflow" wrap="square" lIns="0" tIns="0" rIns="0" bIns="0" anchor="ctr" anchorCtr="1"/>
              <a:lstStyle/>
              <a:p>
                <a:pPr algn="ctr" rtl="0">
                  <a:defRPr b="1">
                    <a:solidFill>
                      <a:sysClr val="windowText" lastClr="000000"/>
                    </a:solidFill>
                  </a:defRPr>
                </a:pPr>
                <a:endParaRPr lang="en-US" sz="900" b="1" i="0" u="none" strike="noStrike" baseline="0">
                  <a:solidFill>
                    <a:sysClr val="windowText" lastClr="000000"/>
                  </a:solidFill>
                  <a:latin typeface="Calibri" panose="020F0502020204030204"/>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b="1">
                <a:solidFill>
                  <a:sysClr val="windowText" lastClr="000000"/>
                </a:solidFill>
              </a:defRPr>
            </a:pPr>
            <a:endParaRPr lang="en-US" sz="900" b="1" i="0" u="none" strike="noStrike" baseline="0">
              <a:solidFill>
                <a:sysClr val="windowText" lastClr="000000"/>
              </a:solidFill>
              <a:latin typeface="Calibri" panose="020F0502020204030204"/>
            </a:endParaRPr>
          </a:p>
        </cx:txPr>
      </cx:axis>
    </cx:plotArea>
  </cx:chart>
  <cx:spPr>
    <a:no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_xlchart.v5.6</cx:f>
        <cx:nf>_xlchart.v5.5</cx:nf>
      </cx:strDim>
      <cx:numDim type="colorVal">
        <cx:f>_xlchart.v5.4</cx:f>
        <cx:nf>_xlchart.v5.3</cx:n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solidFill>
              <a:latin typeface="Calibri" panose="020F0502020204030204"/>
            </a:rPr>
            <a:t>Sales by state</a:t>
          </a:r>
        </a:p>
      </cx:txPr>
    </cx:title>
    <cx:plotArea>
      <cx:plotAreaRegion>
        <cx:series layoutId="regionMap" uniqueId="{C51BD782-2DFA-4716-8CEE-901D63BBFBBC}">
          <cx:tx>
            <cx:txData>
              <cx:f>_xlchart.v5.3</cx:f>
              <cx:v>Sales</cx:v>
            </cx:txData>
          </cx:tx>
          <cx:dataId val="0"/>
          <cx:layoutPr>
            <cx:geography cultureLanguage="en-US" cultureRegion="IN" attribution="Powered by Bing">
              <cx:geoCache provider="{E9337A44-BEBE-4D9F-B70C-5C5E7DAFC167}">
                <cx:binary>7H1pb9tItvZfCfL50s3aqwbTAwwpyfsSO0mn84VwHDf3feevfx9acmIz7sSD8YsLA9cIWpCoEk/V
U2d7zin2P2+Gf9wkt9fVmyFNsvofN8Pvb4OmKf7x22/1TXCbXtd7aXhT5XX+V7N3k6e/5X/9Fd7c
/va1uu7DzP+N2oT/dhNcV83t8PZf/8Sv+bf5SX5z3YR59q69rcbL27pNmvon15689Ob6axpmq7Bu
qvCmIb+//Xdy/eU6vX775jZrwmZ8Pxa3v7999KW3b35b/tQPt32TQLKm/YqxjO4pKTmlVL19k+SZ
v/vc0nJPc5sxalOz/bu/6dl1ioHPkOROjuuvX6vbusZM7l4fDHwkNj4/efvmJm+zZl4tHwv3+9sP
Wdjcfn1z1Vw3t/XbN2Gdu9svuPks+4eru8n+9ni9//XPxQeY/uKTB5As1+pXl35EpAqnPHtJRPge
NYxSTfh23RfAEEL2gJgwUkh7/iMLYH4t0N8Acz9wCcznVwmMe52Ef+VVFr4kNmqPCi6lIeZu6ee1
f6g0hJg9SRRVhJOnlOZ5Mj0Nz8OxC4Tcf79KhDZJXoVfXxAeqveEEYJwtkVnCY+me1wrxqnefYE9
Vp1nCPQ0Nt8GLoDZvFabFl9n9TVM7ou5Gb6njdE2I2KrF/qx4hggwwwRQugtdOL+3jtvU/1aoqeh
+fe3kQts/n35KpXGzaE111/z+/V5gRBA7wEaIWxOnzZqttgTXGkmF+ryHFGeBuX7yAUo7vmrBGV1
m1z319XtC4Ji9mxbK0nZTmHMY4VRYo9LLTkj0Kv5b6Ewz5HoaWy+j1xgs1q/SmzO8qoJ3rjXVZ6E
LxqnQSuYYUowe4vAIk5TZo9owbSU2zDNlve7Y2vSni/X0zgtxy/QOnNfJVpunmW3N0140zb3y/Xf
WzhO9oQSRDAmnrRwCkkQ04i46UKLninN0wA9GrxAx33/KtE5DW+C0L/OXhAaBAaKK6P0LmBeBAZa
ABrbKIOQ++5voUXPkehpeL6PXGBzevgqsTlGrNbexOPLYcPUnqCKail2FMCP2FCtlGJkF04vtOc5
Ej2NzfeRC2yO/3yV2Ozf5pX/ooko3ZMcFosb8qRF02yPc84Ut3fx9CJ0e4ZATyPzbeACmP3XmYL+
EdY3eVaHL2vRJEM8xuQuLlhEbtrAolGkqebpJPRZIj0NzoOhC3j+eJ027TRENFDnzQtyBFzuMWgN
ss2dZpDHgbXhe8SAHwADd29Jt/Has2R5GpcHQxe4nJ69Snt2mPcvCQndsxWXQnG+NWYwVg9ZNcP2
5rhNEnt3fRED/Eqap0HZjlrgcfg6zdhhgtwmD+v7HfsCIbO9RygnSPp3LPSPVoxwLZnQ3/PTLVm0
1ZbnSPQ3uHybyxKb10mmfWiug5fDhZk9RpkCMbBLZWClHurKXXVAadRz5EJLfiXH02hsRy2Q+PA6
s5fzOLkO8hetnoED0IzDdm0N15JwNoig7ZlsVkhg7v7ud8JWS54j0dO4fB+5wOb8+FV6lLPb/s2f
eRXfr88LWDC6Z5ihfC5h3v0tvAoYNIkrQt7X2Rb68hyJnsbm+8gFNmevM3s5zL6G1y9KnZm9OZ3n
+p7tX0CD2jPIGKjMPXSLxPIZAj2NzLeBC2AOX2cYdpK3Yf3C0Nh7RiOnlHLHtyz8viEo5BD4F73L
bvi9xm4t2rNEehqcB0MX8Jy8zqjs9Lqur2+Ctr5tmpcMzegeSszI7UGM3f0tMhiF/gBboHVDg5F+
GJM9W56n8VkMX2B0+koxCut6/lcU4f1i/feuZ26qoajefIuNF0oECgDNGxQFt51rWrie0+cJ9Tcw
PRy8BOnqVQYHF7dZVo9Jd/2izRzchilDL8eOB7hrpHkYSiu1p5nWRqmdqQP9+VCdnivV0zA9Hr3A
6eL1KlPeVi+pSXqPSYUwge94zkW6M/cNgIBWhO7c1SJSmDXpVxI9jc/3kQtsTl9nifo8CF+wZwC6
w9GtQcwD3XioO+i0wRWGXhv1Lfh+qDu/kuZpTLajFnicH7xKm3Z2+6W6ruPre5vy33uducqJzrOZ
HNiu+VJXzB4iO4VaztM9Ns+R6Glcvo9cYHO2fhXY/LztdLtvt/g8+uZ/2mprQAYwsJzsu0481BmD
lo+ZcGNmR7ktQutFN+zfi/U0SIvhj2byOlptz26765dsF5y5NCE5/9bBsahvEiIRp6GFQ+mtxiDQ
fmjEfi3P00jcj1sqy8dXoSyPpEZL+sx2HN1W9e14vzovYMrAPjNjo4j2tNtXfE8iukbf/Y5WW6jK
82T6O3S+z+fRXDHVo1eL0OntEN68YADA+B6n8DWE75zNgsIhttwjoD6NrX/Qmv7Nr6X5e2zuxy6x
OX2V2Fzl7f+f7jS2Z2x4Ekp2GrTAR8/JD7oDUC/YqtAiBX2+XE8jtRy/QOvKfZVonVe3fv6SvQJA
CR2CqKPJnSFbVHOovYeWaGKj//beuu4qB7+U5Glc7mewwOP88lXicRngINCbwzq5zr7er88LeB8Q
aFSjRWPXWmsWcQEINkEQEsyHcO7+oFsP44LnSvU0Qo9HL3C6PHyVOL0HgYNDYLe39wv134PEBM6n
IZexd7GZvch2UENgnNH5NM43lvQhSM8S6WmEHgxdwPP+ddYR3t8OL3rYg6A3nWkO5/Jt6ReJDkNV
DsTa977Cx9D8Qpy/g+Vu2BKST69SYz6GaBh8Ubpz7uYkVBvwaVurtbRqem/mQoWxd9cXVu05Ej0N
zPeRC2w+vk6a84/rOsCx3+ZFIwEFQo2AHdC71V+cJiB3kQB6Pu+Z0EVU/TyZnsbn4dgFQn/8LyH0
9wd2vx1mXl031+u7U9APzuz+/Ord9HE0ezF057yf9Elbu3T49fe3CkHaA8Zn/o1HXv/7mablmNvr
uvn9rUVs9LlxhqACvaGEocL99k1/u7sE7gdUhMTZRW0odsHbN9l8buX3t2D1bDKfAkJBlnAbfT9v
39Rz0oCz2xIHtwg1Ggy5QCpmm2+Hzy/yZESk+m05du/fZG16kYdZU+OH7bdviu3X5umhTwU0x7z5
0D3EBEd1Htdvri+x0/Ft8j92GhS2Z03WsW68MjIbJA56bD9VneFZdRTZqQpLJzZaB9G+qhsZihNm
krRf+6nhQjWOyEde+EfceDpmp5lFmS1Hx2oC344KRydVWO+3cdQM3n6sQxGGJ8LvuzJwJnzqtQde
OeFeH2zR9eXkO36btkNwQrpUjFPs9FpZTqCt3rU6qbP0CBVS1rox65NwdErP6+w/aVZ5jZvLpirG
q6icoHFrzf1evdPB0AbmPAybdd8Y7iVOqqmVuqLNWOYkbTVZo6NGy4tdX+SlLpyHZ88fLfdNXoxV
6Ae74/7f3v7rfZ7i391h9O8fzk8L+P4OhxK2jxn46bfQhD1nAfXyS7PWfPut78fe56367Qz8Yu9v
H0zwN4rx04vP0xoiUZr5mdocPzppOu/E3ZCd1qAfF3G4UtifgnODOs8DrYFCCZxalHOsMfN437UG
m/uhliDR1TZlUhPJyX+iJeA3FmqCpiJm4zQkkWAG0WU3q9EDNSm9RieRP8jjlBaauFQq0q8k6ce+
dNvaKprSUXTy2t6JU5Z7Z3k2EuFWwrYqs5oaxslVkpe2lR7VtWTVsLamoeLegfZaIt2WdaJ2VJlM
xVkc4Aig2qRVl/L+rLHjMBickaqeu7y2ZONvmjpJ5UnHy/om9vt3DQ+V5xJqKZcHUm0SEM3jpi79
VUGn8crS00ROpiYIC7c0JLNLhxoaTfuUVLV9kg0kEW5U25XlqApV84Ok1G15EUEprqrSM3/WycQC
t6rLlrhV1UXFscyqwFvno/lkoZM0xy1GOa0Hk9Bwv0BhNXPYmKVrlof6PC4z+WepVL+yTN5/Djse
XUyiUZu8HYUbVkHVOFFHh8bJWWBpp8mtYj+e0uQwapPgs6xF+YnWjOYOyUNzkxt9kwzjmbarKHS6
OB0P8R/vtGslO4d1sQ9g6si6iZhxB2an+A4z5bs2yoLetcfRXjW934UOL5RJnbzNKyfhHgxWT0R3
kFlTetGStv44BKl3SKux358mNb4zNR2PLBOVlTOGdLAcz7PCgyCJwq/YD+JdFHcdW3c5tc6DNNP7
g5DVQZ0P5KT3mux9MKlwf9JtfpFPXLnd4Ae5y3VDT7no6B9WntTckSVl5zn325UpktxNcQbnsAvJ
dJw0YuxWYcvbNaFZu7aCjjq95Q0b1rPpIOHRkLsj7Ohna0yLjQ4Ta78My+mQB3S6sVOqDoOaFFeT
PXpnrVXiISYWzOw+h/U7H9pJdoRsho43VMbO/WsTU94Fp5agRdG64dYPlDuvUNR+nx2lXt0n+Upt
HQetrEttEd3bTtcndT+t7cAj9s3/WdS/f6jL95gCrVcSNvDbU15+CES+V+N+GHRvU8Ueg73k8PJ4
hggeaPHQpnLYVBSopEbMgdOt300qw4lk9B4j2piP6wkCw7gzsQgl7j3II0+IUOuJwAPUysKkai7s
+akNqCYzCSsPNv+hSU1Ya2FDBt0JSyeDrTbFFfqbY4fxMhqzk06FfCzSw7DzgtugtTTCkDDu3wtd
ycN6aryrJNXe5GQQ/7QikTynVS1PhgjdoU6TWIVL6yToHMoqa5NNYfuJ12l6VmlVRquOmnZjGh2e
0UEzNxaV3zhFN9F1QYLaFaNgZ42fCtdTdrmxO51exLGdXTR9316aTNLICUc//ggD0R9xq9KtM1Qy
+2SXvfextQOLOqXOzWUS6PSyos1HqePpsNZk2FdE+ReyFNOlTZLqcvCZt2EG4k9eA7fQs+YoLszk
Dj2L3U6SYc0DrmonjMvkfRtGw7VSaXmAx+Z4vsMnOVyUZVFfSCWDP8o0bkfXzqNixfyObkygyJUS
ZXApBhmtO5t3vmPZ2XBS+T090WX9IU3CxncIoapyeMeoa7Nieo9Dh7Frk+FLPAxV7bAurg9sqwtP
yjCLYicrRP05zKY+cEpg+CGJo/RM912wQdw3HVUpJ9QJRuavkk4rN8pirZ0IJvOCmjo6sBL/vI+j
aKOiIV5NgYjcGlTpgd3n/ckQZO1JZpHwLCCphENI+/FqbMp2Ew8mdhsZ03NdDfXBSMvsVJV2f8Lr
bDxAEMCuI87yo8iQ5kpqmgxuGlvxOqNFEztVQPVhWvD2dCKlvSmJslaZl2TvrMZmV83Imz/RWJz8
NdLafk+7NlzJeMjO01pYZyxUG1/YzSesVTG65ZCZi7LW6SdWhd2G6CJbZQ21130WT/u9Lay1BR//
tezr+pw0RX4SDc3gGtYhlo6wcXzHWMbcMBa1lVtWBNGwNbEscYckiNdcZsG7rO7s2JGmbNajl05O
aufdRtfB5IDhv+5op4+ztgv3ORPFGa+I77aZnboWnVo3qP1hMxDLDOsOTuukmDg/SPxCH9idTG6j
zI8u7MJk2FP+dB6LqCicSHjWjc6ZTh3Pr4lxyl4mg6OVaI+zUCrkUUFwFMZV4rDUi1aRlYhPIUnt
P6ohGk6kie11wOv2NFSFGJy8KLt3leVPf5ZJQYVjJcVwXIjQf294LM51yZ1KF/5+16nsIrTr5pJ2
AV3HgjWj03ZTnGJPZgrZRdlOTtAMYiXrRsVO3WdW74RaeocsiuCjDakOxRjViaNLwifHG8qhdWTl
pR9hRoqLMUumg8wv7XXXpmIdWoV9qgKS9fttVxSuKkO9roKxPE/91D+vAk5XspTscxImJnag28Mf
tRco3xl0O15JGTPfLbLEWk8RCQ6E9NKjduqyzEkt1XtuZ5Wi22TFaJ9HHiPEtUQWp2dWrP2PimRl
4SiZe4XLy9KDJQmLaTWl+dcEpJp2WpkOp2xS6QhoRBivorGzPvpdXZt1hIeseG5i+cOKhSTK3SnK
SroZhnJKnUIXwzua2OSPqvay1vULWhXlJpG5sIdTIrQeQgDnI7eim6orkLy5fj9K7a8Hu63tK68e
6Sg/+CotmsuGBW13kJcptP1oKmhtTW6jo3QoVryjcX9VRYOvb7gfe0HmBiqxe/Eh7aK+VGtdCCve
WG3bRF9HVRQk3kdrcVVd/18c8CAOuHn4SLR7+nxOk+jsJv8+Cli0ezwIBeZxu0BAgkFQDD53frrL
Hb1wn1yBNp/pQtDrhglECPo7I4HyB/gBhUaV3RMTdlEAwXNkGEVPGDgJhc4wPFHuP4gKGJK3B3TE
fEdwXmA9GFUSRTK6oCMSElUZ6WNxq4nXtGZNC15YiWsXXTh9FKIt4muopKg3WTnWI181dBDB4Fq5
Z3/xs4pnlpvTIVZHJhBju4qNlZUHvUmT+jQRaYF0P48HUXwRcYOoeWVJmUTM9ZXi5FYN+djCZQ8q
udZaFN4NS1kpz3wZlgVzUhLWEIUXokrPA2I3fbbyE1HFhZP3Ik1PiBpLiOynKRmPacqy6C+r7nKM
eQDpE6ETSMFHa4QWCTrHcHzuY8VyLQInRdKwDWSgb70+z6LyoEl5AvvOu7pSB1PtN2HvTmGBB6Ul
thdSb/Pz25PHgRvixrn3kuGMDQr9OJ5p5usPcuEpYrqWtgy/RiRmceg2ORMscIyhVhltqqH3q2ZV
BY3P4da4NRXZRc/ZWFMX9ln27KiRQVbHTp6XrCJnqMiVuPZzIR/n6+g/RK0BJxXBe+Ogz7wtH8s4
BKFFg4pZX6VVdTZd+ZPyFQyi5g2znaxqpPwcC9trUHr7pm6/xma+L0g0RXFQDxQdW963aMdc5RbT
X/0Re046nV0k9aeAezTznT4K2/A88/AUysYJghzhrvPz2yOEf7g1cHs1kyIoY3KB4xpqXpYH0Pii
Cy17CNhXSyWqZK7obSmuoUhWc5hPoUrOQovk5JTF5dhexbVtT4ED3jvBovxcEqQMjyURFLw1ythz
zzsVbAEAiEI7GuPMu/HMlIlqPy+L1BvXlpfWZtwfEcEBlZ/f8sfJg8yc6VScUpm7IBYcTaACL4lG
u/rKZQ8t34xETiTeiKpva74Otcfl56rFqpdOjXRHfs7tsavMugtzu+h/sRHIwpKpuaaCUuSsqGB/
mV5I45spEqZorC9BWKnUOhjAiEIh0iEP8MTLto/4xN0whd8tnMFQBqlAXwTtVVrIaHQRAVfZlUmD
tMpWpcgrepl2YVZ/+fmazfb0O/3LFbhQGwewuSB4VA60ZWFL2t7TlV1Ow5ehaipsAruNbSyWjexD
WMhpWGddFTQuZ6Vp+nx+CQu//U8XC013OAsOZthozjhM2+N9q0taN2Mt8y9ZIizY8AjWa+qdbrSb
URwzT8Du136Lp76lkchgUasirYg40FZkdbFTBrC2s+UfA4zKwinpjvkQF3n6C7My846L9ZpLaaD3
NAXCUi7808D6DIHzxL7UHpVWuo6aukjai3JqwiJz+3IsIZyl0g7X8rFM83GFzG+0rvqi8A5rU4FF
dNMJVMxxGpRZ4zmZsSXo6xZUYXIpU+NPqUuZGWASqRWNJDuyJ5PgV+PQ68vyF2pKQMs+mhBq5TgP
YaSNMpTEcxQXFgM7Myu7rCs+K5GLSLgFGFlsRc9rjalcMikLpt0bt9YzaTmutXfmpCCexqWhb5gs
N23Pfq3QC9YVZhTRhoEiIf0EA/HDtoiHuE69IC8+FxW0qFyzOtb8lJKAjcesbkcsh/G6ZPqYBsM4
KqcNqr4MXBj8Xl765eRZB8hFo+ljZbW1PNOhnAOEgXdpYvbjVszw5DUz2EJjp0R3WVRRPH2cEhn3
sWMnyey0Qqz+XF/ITIAPGaoA00edDgOwYyIa8VJPtt/oFZJiVm+kamfs4sEPEWCUd7c32rfG3tH5
EOEncgQPkDy0sjk2aAqRxtdDLZEbbExXke4KSezUnFRV7IGdTNKKIq/zvXQ48Dmc65+Zzjz+sbM7
gk2mtI84oyuzHCHKz23D0oRj9RXOMKM7mSvQ3jP189CZMG/MfAIu8vNE0rpCAkRtVdROn0d5csha
ZLd8/fM7Lq0RnR8GQQn8Nhh488Md68qugz5l/Z9saufN2Ld8Nn+0VjGct+xKIT97EZuwCXvaNrV/
qmBYsE9/LsZcXXukFAxPR6YKjgvNppQjSn4884l1bWkZmX5MeZY2DKR0K6zbvAxKWKMgrjOyrjyV
hxddrX1YnCIQub/2Qeh2OVJm1Sed01C/PE48La8GViV6ROZKZHfZaMsOXdA/Q36MTWQHTmRzLywc
sNDIeI/sAJWwy7wLEF0celHczJrfoQpyPj/NuRgdFlds6PZ/PuOlXdM4N2jPTw+gd098RMnx8Yxj
iUyuL2v1oQONgCBWVBVFENuBIu4djiCLHwSkH7Bth9gwvPjNXWRryWLe0qyNeupdeYOctzQtwymt
DsKCstlEllNtk02ZdEUNFlyMMbTO69M5piajTqGdipRQo59PaS44PQQR9KJGTZPCqgFBNKUsTHXJ
snTKo4x+0E3AoFtN4c8CNBZrZ9W902N0EY2QzQuGWcVhK2eTgswZjsYKCMJ4Moj5o7yMcaojMZHi
B2GfzOtQjn0uz7xywLfCgM1THP1U1pvYUhXbFLrqWO2O8BeY7i+mtsgAMDVD8EBbFNnQusER7z1G
qxliopI2Hz+A5ZstVVOV2FpTMoX5TWPrmGbO2OTl9FHRbPaPqZUTADLINPHH9ZRKgjKSYVbbg/+r
KyxHryKG3ce6CdYkC0Eddfu8T4rZurUwmwchLXqYtQYRCW4YNp6Nd8ixCJYi9TmWomlUYDWuSNoI
KhGgxoR32/WZTeF8KOZnkfZCRzXCBURXigqNtNP+IdQl/cTlKEvrfZeqHNZhG97SQA9d7CKzDPzs
V2ZhVvsHwdJ8S9BpNkqPOKIuETU9XnY7yhFCFoN6X7cEO6QZcQI43Ifvx/rwqOC5WHu9lQ+1IxM2
YsGTzssQssDoYZX6akiaCyVr7UUbr+EaxgAK2V1WaKOCB0gtKH4zZHBUO9j8sgfH6gyJzqAr0KIZ
Dj8eZiCsKCR4MWNkuks7T3NIIuIYvimWzZyn/ny1uWE/TH52AjASBI+5/jGjQjhYW749jO+DYJSJ
54AhZoXr9bYXnUk68Wpcl0ElC+0YSk0UOFWFItSRnbRsEE6BaMc6rvzU4qdeGijmln0++Dd2mNgH
vddyuYpVlidfeZRM1WWayxSP4Z9I0p/zjtjDtNJRZgRKmIgf63bT90J3Z1UZeEPuyNROyQmzK2JW
WVYZ4oJvbSvPyQddTpETZF3FB9cfUKWLnW6q+jFxBktEPNqg9tzyK5mAAPZdeyBt3+4Xpg/IXOD0
/OawCRQiM1dNST9NSGuxFYvDIR691inrIpKbziifrURqDdP7XuY0/NjyxPdWDAU14o7IT/PRkX5T
m5UJaT+3GiT+Ac56N6syt/vp2DOZbe+TngR041u1Dux1Eecp/zCKzo+tDya3h+E9GGTWnFp1k1mX
8Biq/SoqKasPk+r8LHeKPEfl4p0ZpiTe90KwG5sp5zrNHRPnjAauqqa61F9IGunsa0CLvBtW2Cpj
eWtalDVsN076mkQHjZeVQq+QB4hE7nupFcszA7I8jvc7CS4wQTVGZ6zBKg+E6YqfTizvsKUnUtVF
8A5PSGukvc4yXhTqsDVeGCQnmRji0l9Hnd/03UkvPD8MNx5P+1Zcehll5aGMeODrDfaKZPFcirHh
1pNah71xfIvLslkFXjVF42Hv11YQ7vdhCm/jxqbnMLBdEbbiU261UtSH2Bwoj7o9Q9hCztoCUZdx
mpHpQZ4nVCm8NNsPrTBMcA2HGjluN+U1L79MbWlodxTJqvDpARksSyl3jETcqv0hi0iaOIJ3s18E
0R9iOj4TcCrXgzfi4XBuJAIj/POxL/pCXaDoEfXJRsXMosUhqjNGd+cyYiIEw27MzEmoqhFB/FH5
qClPx5wnKN2vrbGEyT6F1S4DcWwxr1LJCQnLkCQXUdRH2lv3EQyBv85DHKqpXJisWSTwxYlN17Yf
jGG5sos4qjRqEzZY6E/Upxnul0aJMR9aX5elWyEPxspS3YbwIC6RwfwjkB8hi1OWZo7peVBj9m4B
zpzJTRT084qxpInxktdBY11lqZpNPu8aH9Ue0zc5NsCUId7Yb0yV4nvFdqpBI1DZd8oItW0FX1J7
uFsSECSZGQlneEiBorX4gyTDvM4ZNxG4JKu1KkBhoYwU8NuyREJTbqowRKTl9pqMqnRDHYjWAoK8
LduPTZS1YYb1soIp3w/aiZPhVEdqFjkE0sWE+lDY4w4Ml8ovnjXMG0xW1oy8GC18lph0XpquI/gq
XKwue8jQ4bGCmONuPlXFWPkFhFuAz8RQ5PIqFtwzzOW9AQHkFKg0YC12u8ebatRzViqy5sl5zXi3
GC12TeXuYlwjJjG/Y7WIT5kdVtbVbqmt7dfvF3n7PTAFND5VtEghAMnQGfAlDmURVvthxkZMuqQT
/u8njk+ZH9pXSMD93DhiC1Q+dQ22GjLvtvIPM2JGTzgkDrpRnpu0zbFKHU0TfIUW4NgqFzSH1xkn
tsc56EV5lOLDRPl2+cVsVzAvoEGwa9s5BTREjuYWeSZ7cjC2es7O7S202+0hvTjB+kgeYsRaqGSe
/CDHAPvUJ9V8mwBNLfhwRPeMCj5MVsjb5ggzZfPybjfS1I4tpMQk518hYVVjHLouGXZX3QSz6NsF
taZ+wps8YTlXa8tGaSY6nNCZNxT7vg1GCyW8sM2h0ybyZ+aj7oFv2ClafiHSz7B9aoGIFZOvOgS7
5zW47PkHaTe/oLqq8ZJk9qwO6SRm+bNW+kH/oU38xA83ma/xu0HJiM8O4npUpDlm270SRrVp1P5u
yU3UVRBnCFmMH4EHyHHzqAhj+PmOlJO0PyByi3S3KkqryULXrn0PNxdRgP89xqpJCnCbCQgDUDaA
KWgPVe7P6tzCv+KzeGxlpDcxgsVhPGKmTob8oOG5naZuYniSdo5X+6AN0aDY4vtBU9Z4QdAokrO0
bPHfMe1BogkbrTMWyt1UJ2dd3HggBfoqwt1J4OfdR5l5A7IAb5zmvd8bmPJoM7CSwsLoKkhavU5S
uNh0PViZZ+pDYeCqhj9tOUSwN36S53F8sKOToyYJqmjTBgny3ZuR13gQ1EERBViOfXanM2WuEyxY
7fWxN31kgc775kPJ+qCXB8126oPxaywRK4YpxozQQ1WLtZxsAivXVHxePjIU864BXzVv8S1/quu4
xwqQls7zbcKQ4qXCBsf3UUQUeBcmE3hlnM+KM4OCczjK9JQVqH5lKzmSOYftBLrFrnYky0REUnmb
Nisrjx766ODBb0xb6s1DWg7WsBQ8Bl/qkRipb5oid8rcJgExIY7TWM761PA+BAnvx7qBqWTSG+Hz
6hGWJtogs50Xrw3ZTBXQVsfg4qMk8zG8GhPM8s8e4ZlnHfVeXVXhmWHRTFLmLdzdqYo9Jpt3HDTW
6K0HL7LGYCP7QiT1CtQFmu4cBRJIfuY+I0jJ4QzN/2Pvy7bsxLUtv4gzhOgfC9hN9J0j0uEXDYft
pBECISEk8fV34vA9x3ZWZdZ9rnrJHMMOx2aDtLTW7MDD34J4w7dKR7EfGyJh+3JTVIVYfO93sl8m
INFRR7povbRbIlj2wDdjAwjOtgWowibnIv2Eeov1FVi54Q70Mdm/A5NjgOKP8XJHqYYO/So660JM
Vn5KC9/O4VvshnS4TdNZenaM6aSX4E8LxtSxA060aEhKPQD/Dqp8CDP1AkTS8uUDaea+aSqW+Kh1
jzZDbzN/LdZunemrZjmgiZPiZgVvCopd85ctNjSeSqj3MHCUSxhO6CkhaCwgH8MqF5ChVCv+MMjW
MrNgplz945u8P8tZ9gCIK0h8/f61vpebYVj3+lf4Zq8m6P73zdtpsf8EFCy4Z6yn+58lIQnwE77x
+w+yCOiEAL097txGNzCJrdygW2S32+JDeeixUfddWYj9b34sWfSUqERFArIHFMB3PHwvp0FTKedV
lJUhVSS/N6C+7VRaMgI9j/3GCnph53Hf5U2w7XCgBk+E/8Voy5aLeSNY3zEB/3AL3HK/ct6Bafz0
44MSVeBIm7FUgqf3iW3s+i3jZT9KEz/w94LF34HGGR45rIZgmHcQUqtUxXENmn6eWNnOqQmeTJdI
fOfFgsVbLzva7G1cGzt8RrYO+2WZ7xsumCCrBI6ZmH2TS7rTjPVo3b4mM7ZR3pVJq0chDm0/YDce
328IcOC96PE83VusWIdBf9XSaMjyfwC+fhvogeWgPmAFUxS3NPwLrNwu4BCAV9OndppSXHXWNA67
wU4os3MQ7ztoWAG8tCUkJPu1/8N09+tst388Xi6FPMP9PTr4/N8GW2XcFFidAap6L409MGBcBeYA
7KS//6jfAHTsJgKdGT4LkBX+m+5j/U8Mlc35nDO0kv+9Rgh301TNksXxHRRo++ou0nZ/qNA64QlP
sYrxyH4Ux7+/ll8hhASKCqBCeEEAxG0RAjQi+uu1sDWigG/75qkAq5Z+6pJw78e1xtuEDtuE1vmf
7vNfPxDeJwAHKeT+ABeL33BF3ipovgRhj1AQ4aBoOE78i8xzlLkfO/vvv2C4w3b/QSz2b7hnsSRI
yskpgnR/BzLd0MfNuAzp44+KYdttB+19GvkkObpY5+uxl2xTD8ZGvq+FGfd6HimUhkBvMc6jf7ii
X1c6rgij1J4lF2UFNH+g6n69574ggc18ND8O75vKoq/DHneGM9T1Ll87PII2Nh47s4hwOKC1CNr9
QnoZQQtUrTMm+2MClXVCSofS4iuU+hk/jv3BwtvOR5gnK/vOZ8n3Mvv3X+L3x4gHh5fkkQSMCZzU
eF/Lr98B5+68QAS83raa75Vp+94ISZ2M5sEHuYmRaft/D3VBJYnPS8iPUJ39zSK/fl7m0I0gms/c
/jj2IB+e+5JMqKxTCc128z+C1hICyH93umJjIGsu/ks5iCwDEr12PY6bvQtGk7w/jYwP2BejnvcD
4++/4F5fflqmWBCgn/ZIJ+hRYiCav+GZ1m+uU1vCz9kYKJ5UmRBZ9ClV2DD/tAX/+lF4dDmYJfhI
MWT+XuoEo8KbJm3O763ImgAdwTqis8D//v5b/cat4bdDoQFHDd0T+/Divt8JlJEsLeudLL6QHjD1
j20FieveKqpI7OOkzddRVETEimZlpgYwHeWAVlRXSzS67Lm3BEXwH67rXSLy0w0Hholb8D1pcxcM
wIv+64oiBHxR1rX6pDZKWn2gidtVEgbhdWb6U28jiPZq0g0w36IUbMMUWy5Js4TiCl0EpEFNNXEJ
ROqaxsBEyL1gSdNMZ4+eJZlumet46HzFKKiwVz1DSdYcVE/jcT6IwWx0gUiVpFrUuUoAAV5HLpyi
9L545xl5iiEpumOjCGd3w5t2LSDlMWvaQZdIekhIzhiAsk7UQ9BLLJEfjVMW4J+1cGDYfYlicshx
iKXfy+v7CMS/303bCoojBSPr3p7YFY6g4DzRHPPLSA1uN1q/1GS3kR72JjN477kkSFs8NwL7x9aV
XC8ihPhYK2j46lRmQ2/K/4ZiZhznbfmjwfq+hcD4Wdzfbc735iKbVyBemHl4CsFxPuEjBce0s14S
sChdUw1OIL3wBJ5h6IfnCO14Ed2mHhYmedGnJNhBCr0q4L/+fT4srNfRXLfcCMDBQIYysB9l3y75
xKrATI0lopyRe5fQ+2IuZAb/1oyiM39IfLFu0wfwIDvTht6U0PR2WjTIjQ+dBAre1FjnkDkcWzWH
YV+JEM3wnx4jsc4vk9RZ+ilMnF/yW8B5TD6MRdFzeuhHHRBM6NCcu6WC6Q0c/2GcPJ5tbR3dlC9J
AMRkrdAyQqBY+dgze80LveitBE1uO0z5Ra7A13Yt0aeYDIt9S4ngvq1ZjEEAkstsFOrjCEQoMCUE
wDsV+KNGzuDpm/Q6FzhP+uPYDik16O6/938A5Pf+1Y/Lfhi+L43he5c6ZgPHKKkKKHVkuSqSihAV
tpkyXAblHL4LHqzFBxwuU/4kxyIYjqJLmqRsm8Y+Jb5L+tp3lp06iKnPHYm2C6HcegbCMj1mKqWV
K5L2NuuWgQDLXtUHhkV9jmE/0yV2X/vWKzl8bEg31a4I4VjLh2g5YQgH1EXH5CqX5NPEsR1HK9Pr
1HayzuK2xdOF1ejYZy4+9FNn7rZ+WMgB08JyyD2JBqzYVHxppXmiYSyvVBw0V2LVyyHRgMYhkGnO
62SKui1s/pDJdobeQHZfOz2zemhlU/p4HOuEFfNlvlFx9GwEOw0heIxfnfuxivsxO1r8yoscc+Kb
cpM5QY/Bvs4FH04cNqOt9EWfHNueTE8yBmdQDoCOdBlEU/Ns3ZZ/HoIxAcRgxAeb0+5A6EIuY1K0
XTkFQXQdAz48qkUjdaDP2ANAzQ46qiUqvoagoDBnhTJ8XGnfdkfpx+AQarE8ahhbLvZSUGvvzGWk
ledlImwObX/B2vxjBzOAv4AywnzRNO7Dw2TkgvGrE62HeyjJv+VLkok6YIG6FAVkEnUcLv2DWyHQ
T6AhuEr0Es4Vy9vpM+m1vHZ4Q8uVTsN9hbJk53ab1V46tNk3JOPrBVD5AFLqqKV1jur3NbQWdsRt
y8MW47wMXq2c7bc5CFxFYQD6rHU/USgdJGSN26axcttBDiWUXMrUcrPcXaammZuShLK79WGGQoxR
r1ptNESXcBcP8lK5WR2pNPQqGYQrgUC/JNZ/IYax2zjE9lm1WWpAnqQrGyfWrE78FB3ibBlvZRur
Vy8dekUC2r3RpeHQZvAq65pEloGJoEg381RGdBhPEwCMkhKxPLhw5A+69Quv+LI0zzNk1h+VkwLu
CGdcxUIl+7LH9YEJhqKbY+O5dqtil9v7gup2qMZt7T/3Qm4lyCfxgtchzKWUa/hQgNy4gMo5r4wi
7DLuxvizzlN33YOHWEGHxHCJLmwpmQlmTMqmuU7zYOrKIeTFZxVgSKlz9I19mfR6vk9tyo8o9Gla
Fd2WnZdwau+hH4LmxLbqmU6jPK3GhaderulnFbFni/n9eZvFlp9mGfuyn0XzzeOGnNolM+aA9tQ/
LapIWKniGUwyh8WEtOt6Aa28PM3oj8OyyXTxXIxL8RY5GX3oFZve1m3dvhks8HrNJjjEIHg4EZwU
9ezm5Ql9b1AmdlyvA6X5p41M4ykaQgbFGGDu29aTGGeZQ0UifZcDp0p4es5AGFVSj/2JJ0Y9Q3MW
4fpXehmSMTr2aaRfgRfO98XYqnPoh+JJCLVdNbqfDy5DycV4LrrbMSbLpTKxvR81Ux9UnsdfIg41
eUlnv97GXmDzAGu7C6PFXDmV2YvOumgCnpSPJ5aKuMbYDuUn4JjiYgsUu2asVQ8bzdvnHJDO67zl
ywcc+M0Zmy2DUyNYoK1Ku+NQsOQazHsYVYsohjrf/BhhvavxuDXBBHdO3t43DraDCooVclS2n1/l
YuIGQ/+2XasiNlcQUHGgFmL60EQb7H9tI9whynh+DsFFVit8Enf52kRgDFTwNWAU2rhrn8RbV1Re
OPTgdWYAtefX8Cms2XIgyLYflnIoJLu2gWzugf4Mt0Hsx5dhUZ/xbxoA0F34ogU6mN5k/a0reshC
Exl2l8Uk6ScTwDRaDa0lN5AgmeeOrut8aukQxVXRhtlVzCaVHwsixuJStLmswS/D5rCCh6/zYhNZ
2W9LsZYiYuPtFECHcOWDOcO9Told1PVcwI53DJ0K7cUYz+IucnHwkI0F/KCpU+10aAupHvumW8UB
VLRvr0THp64O1JhAqclYGJwyWBC2R5+PyrSnvfUgdTE7vLQUFiU52YZfcmAFaqjCDJ1LlQjD1hug
OL2uIhM2H2y2Tb6ayJBeQ0bIwtqGaBGvFgAEy0vSYSpVqCNKLkmKxqkZIXc6r0uaXSbUkbH/sEWe
0bX0biaFuaQoduQij8FUnObBj6puV52YpyJoeA9lUDMUqlQBawZeBXHhnroIap6StvHwMPkwgEcH
A3BfkWym5NoWvRsrqsAv3GQDymkN4d5WT0DcLnu6dBXSZvjlEnin+7vBB2mxRbj9I3GiBn4k+K4e
g8dF3C1L3OdL7dM+HSiAfz1hP+SgXSsTeioOcQhL6zVvwRqXYgT8XG2Lm+GWFR6EVGZ6fh67OJkO
jU3sDe8A39a969w5avDSljrNSZsBqutVeMEbJUGTmiTzJbVg5dOFLrdBUrisEj2L4SaOeQSIEFji
SygD9XUt0JpESnp6miYGi3wDw42hFVq4NpgqaAYgkbNl1qaPPoinDI2ZyX03VKikC35gIkGHtDkU
oTlPD60cZJk0c+iKAxfwtLUHSd2UJDchjPrmGSSzYOd+zuPPzbp+2ra2eW5a+akpZNKXGBPEk4Xm
5MBypk4EhwdBkUgVaLkMhldPh1sVdea4tqqo5Cy33TYTEVkKkYgnNQ5prRRcuybvYtTXdRFfloZt
x2waQC82jt2A+cxJFTpt53rDYRPfF7qNYIZTStXdCgwK6wELpoROz34NJ8kf5Dzq/KCzrLnW0zg9
mVkvzcG4ZmUXQLObrAyEKy7E1M81HefhyGeWYDom4aFY2umKsyS4odzFV1SCTJ0aDVK9wFhUU8oQ
c20yc9ocpUNJMhzCNSnWWcNwmE630DXa5UIqy8pCW+KqmTd9Fad6lWURCgZtK4Sa5kKn+HIHD/D9
aWN4zTYDHz+fevB+tcKmtOXmubrFKY/Dv0v5UHc9+gtcAnvEqdMdTVbAbT7K9qXvmvATEEEYxXhY
nCZSiGMms/4+6ImqVpG2H8konoceCrUGg9sxo6x/nSxdpjKJpuk1IkxdGhoxVzJYwPKqA2h7ySTF
l24IkPfOrRWG8Oiux1hyudqw+8LbKPvEWRN+5GFkr1cwynUi5+kiApT9AlKA8r2mOVlGPZlvUsYi
9K0ojvsijL/E8NYTtO1iP7Ud1W/TmgfdYUg7ELQAuaf0YkzGbqq06twCDmybAGJmtg+raEAdKdOg
65ObQWr61rYtTIF0wDWU/ZC1ecXxeyvAclgTrZfJhUgNzWqM8Oug0Gvx5lLIaflDYmprKy6jiHzC
wWsVvHywPp6Dhaf1Ivvg3M0Jfd71DMdwW7mBUzSQd0ni+jez5hLHAyZP2N8ZVFoTS6JrUIrqSnqI
XUrVoKW5dtrIN04X11Ua8OdaduvgviyLx17BpsScZiTQ1a8r2LS1BFO4HsZ+jS4BnjeQcnVuQzMP
Oes3mG9XdhRZu1zFHvNbGaAdWeqBzUFyCGYBLTLZ1uQFiQLDayZXV3Ed6XogwUxujYV5FKxfXkCt
hB6uTBfbDieLpuoS1W+0Bze3bY9WrkDrCXVJMN1GrQ2DyrBdIegFSeRByRXOByhlsIiQTyDaPubr
sVlTUDyCVz1Hk6YO+xi7VszPHUVPHY1s+zhqM/I7OoVW15gqGEdJK9Jpk5UKTTP4U0BoP8Z3qYlY
XvJw7qLPA+SswQgPXu56dgSRxx254e2UTkWFadvFsjRbK7SpMhy4ia9b8Gr5UBqozGNfjyuslvzK
5wyQTqUNBjB5P6xAraLSQX4Oz7Aycu4+Ng2Pp6a22Cqgd+ASikZVrm5GBsmxQa82XpjWBOJPPWu3
JocWuiwxHpIZHOATI0hqWE8SAq5lrJWPA9Lf90ZyPIc4gIzL9FBYg5tYIb/H1/8mgiIjuI+6Hz2i
AVqXfExUQtundxA5kDsRsgzFDtnSkDl5hbiXXVIAHcPOz2AfbtnXJmbEpSfovTfstznURfdqpG2D
thxzAHABJlvW2xRHBMrx8mJaAAr59YKG0t2SviA+rkyjzcxPG1g3PC0cef3Uv0W5GVdRJ8Ni/HgV
GXy9rewmqD90BTEOzKJP0ZLILj2kENB20SUxZvYT9FHdgh4Hs0MzH6XMe9TjYJlqDnXUDYXIDK27
LFAxfdGhicrjU7fAGOkl0OEVCG9XQeplBhsfmtHF3XCQFkqgAtjBOOXIuzBxfmDBkDKwcysrpCnD
eC7iQ+a3KD6BjxQvMjfDcwDVz1LSCaa4MjbYOweoYMRXMnJ0WVDlt4ofplQXbb0q6GdcudEZpOiW
Gv9d/X9ZdM16DxB3PQOf7q4nwmAop6m56UPvxUFGAiKytQBBLYPhqS+czS5mtHBZGcEmGpdutHw8
qYVAXelyaUeYhlb+VW6EcZTWWDBEQ+SxqZdo84+6C6xDgxAMB3SgmBBZL5PkpNJ4ETUTuXsLNua8
LMPGzuFjDs98Ulu8cfGLwgt3Van7FaPBuAUrphEFC+sB7YTSZ9MmfP3aBG5HXNBR07HaeNsc4R9b
WXAUJswhGqJzMVaMxNN0iD3R51BP2euwDjEAy4zRZqoAKHYJJtTM61uRp8TUlCRm+QhJBuQc0NZC
/VdBazKvaJBCCr0TwK3bBpO3KOMZffiNAxHoSrjfs0PG0+EyaPQEib1BnIqE5k8KSEqoN7rOx6QA
VQbL+Ql+CjyYzDVBGUHzd57lMPeVAWD2tkFIgbXBigfkDUz4nps8pqF09x4Pu95ji+CthebjWwBR
FcDDXjbXAcqw/oTh0rYPWS/U3nVFtDujg0kvVZwl3RtKZORPEeJMHicbsRvIN5uvjQpx53O7Ocjo
mAEysm2dK2VH7HPuEnNvFSIJbiXsdWCtMzGhmmYCJgqeFI/INwmzuugnexECtOhqC83OHzaK4W9M
uI7PY9z3kE2q5GlmzXRc6Eg+pkqHZZFBH9mqYYNzQG++hC/L38LrSbuaGr3CbDaMEO4X3VqsF02q
oJrT4waZasMsLN62GHbJBqZhGJszT49grsD/kgiGx7pZd/M/Oh8GFGaRGWSPUaNhWG9Gr28iI811
Q8M1r0nSyOwIgYb8YF22QA29jPiWUClkn2LV5k0p0IDfzcHe8Wpk+4wlemrflSlnBWQyfO7aGgd6
D0UY4JL7TQABKLdUyvTAVwj/6ghxLodtdvg3TQKZH+QsQtZrJP+0uh0PlGlX2SXxrxmqxXrlllHJ
epjX/FEnajH4uCSZMRB0QIEEnW6igdGrvB14BvkS86JUISuugqClb37o+KULkKsADWFfQZtGP8Ot
Y0bwH1nhqy7RvaqQydP52ljf63JQCNA6mLbLB9RfFQ1XfUh9clxSm7wErJXuFsgVjwAGTLB3D1KE
r10BJUYpIBC5naB8IYfMIvSq2goKt8XMSCIOIuzbDzxxylY4N9HVoT+v20jN+X7f0jsbWcDQiMdh
t/kgoo8z1B9NuZrhNdJi+qiWaSoRawfsEUpPCLiaFUt+UK9NYEmD3soFVYDO40YZ2I40cJdPY2OC
C9VjU9eq49ndYpbpcklmeFBUxq+BC2TngJH8BYhxl2EZNOkbgoaig4uJflyVpxccL3elVb/uWTAe
qQSQ9IyAeDKt87OO2jGttyJA4yS6wp3GhK7DI1y8Xa0AbtUKSz2u5igxB7Qv4dXopxaaRRt+bJl3
Hwu2hKXUhsDSmfCDyAf2J+TOpEbuyfKco90/hTEL3yYo4z8igcYje8DhxsGK8BFeoPzGQXxwkuuC
XZebzxBOL/fSIMSizJeJhNgH233RBBwdTRiLE84DNWLM0FGNKIQroGjBtZ2p+qMH2FHnDoPKjOi1
rXRtOL0E+RA/9W0UiyoGqn8h5RiCooMClEfRF2+A/qsDl8CD1BsOKC7WGtw83FUfMdFOQj6qWE9x
crf07Ywqr/GeGmim1AxfNsQLzvdiBtcAInS6iz0kPv5kKTwktI4m4pb2gphW9NsFBOZ+eWads8mX
ZIwnfu6nXCxxxWJFlqDO1yS2CsWLQ2UDrg26DWRmdCmpIQgMN7SNOfFdpXiqiLsw3gHFLFPqkmMc
jzb/lI7jgqIySz64AXUsaUlSo8+DfqIOfNo0ENrE0H5BJo02HmovD482Ng3k9XECiWorp29kDnym
axCtEBAetLSet2BSu4ZDxSQbtovbsQZn0CBN32xkflijfMEI00UuVeplyi1b+xoEMUJgjrAyda6/
7ftJm6nWFuHL4YHIyOj5zfBtDX2J3yI7X9kpRktWbrJFZTgz2Df7ogJivX+TOG1IMZzaxq3Z/IdB
egWSKzrk2uHvoNHPUncVLBoD81XvNRvSypEiz9bj39NzvzLkYA2hAMGbcXfNAWhyuDN/5eYAleUL
gXvhm5jkTmis7xqXKBkViHKdtTFCQ5aVuAAGjK4HRfcPF/Arvb1fAIQCMO8isRAsIUihXy+gS5A2
ljRd9pW/X4B4V54IXgxYccEEXuydKf2R53j/zjy+xxL+nFT3c3Dd/5s5eYTAZvFvKcBfQp3+1/D5
7fN/Xl36PSfv+z/5keSQx8hzz2EASiFDCLFXoET4ES6Z53hHUkgREIm4uhD/xVP8ES6JEGW8mzTJ
kPsKCQ5IMaxAULbfwyXJvyiM/QirhMwA7y0p/kexeb9z7fgtu/4khIkOhpm/LKQ+lDTWURyciyCI
kZjU++1silh/+Ome/Fg8P2dY/rpev8dZ5Rk6kgKfRuB6/229biEoHYDmwRmClfADnBNoFQzJ74SF
C/cfOP1d2vETcb67ueFGhckfFlyIB/bwwZ/lS3gWUOmuETv7cCruSKrWGxD/IFk24u5lKrp/kkZE
4V+/XrbnLCQEPi+8e2F/2+zPH+k4IvAgVGTnzitEPrF5Wq5B/DSA1QFlJzjUbfFCoKahR2LQrmEU
gw3+lAKrGU9z0pgqWdfYlsaNOPj6Tp2LyQUdyDhF3kYILwAR6+KEnrI42U11J5F6WkG1O16imRAP
A4dZdgjU8hwu6XgJi6o8wsbf3TK/dLdxA0M20qbG9uRnHPVdo2EEWrR4oNCBfgORur20PFYvmWxu
iPHdwWbDWBmA9OeNRvwmjqHVqNo+Mg9UG/HnFm3T3RbZ/pmSrke8FxuOSLAa0YSJtTLTaM9kYnDW
bjM95SuBAgZWvEPYAjUalkhfZeEy3WJUgDQWx+5nMjTBeUh3GFAF9jx7nDdl7AqWouzT6QtinMR1
ugkHSmlrTUlmi15V5fGRaKpeOx4UlteuVZnGsOEt1MKvRUITr6/bUSLDaswwE1mGdV6RFkkCaJzF
+GZUJl97uCz+6AtOHwucLG1liS6+9jlsQyXkxRnoQeonDoVB545qzdGRQdDVvvF2yJGNOMbDHUGA
FnB6nKbXGaxJVx7IwEvuN5hCWacALO4EX7+BkosBbd1B6PvYuo5UzPX+sYWK9qBDol5hkVuPkyPL
MV/TICkd/FVflRDtqR3bL14hMKyBRPGqKXLw3uGWtOKgcXNaJGTdzIPY/kDUQfAQwVp/TTbIYUvt
Qg5UdCVBzbuekTKYoPtEPOwFg3EOwpZRHyLf8WvSN+Zro9PljYe+Hw5bs6XjIVi64hK3QMPVk36Z
l6GygNJux4EA9siGryRyFh1ufMWCxZWcN8+FRt82MzmcApmjUwAWi4bVjhDfx6SCzSgtM7lc9YGK
gdYsDWRhJO8/Q4HG8MPZp4iZqAYU5MFopfMjswO9Tlt9nzhrwzLPsxhLG7vHoR9FPkYMCUO4fnMi
C46JCpYbmCq3twURMRWebPImwX/eoYGH7GxblscZFqAKeoJHSIy7g0m2j4FR0S3dEGpF/aZvg2zb
DrZI7dM4FghoCov16EX8MFrxRxaxiZ47YMArouuAy/svY9pBbMBWg3YmNRCHDKXPJWLnNgzwNW8E
h2SdGs8rP8zpdp3bwbuLoSDIHala0COkZAEamBeu7R765jAI2gY3Yppr41fdf4hhHmiWoYQwOl/t
h8wv7aEIddaA+AXmUSH/s0vKZCZpiaC8cTzZFZqbjy6IYdOCZpECIc2tJjXiJn1+1L3uEOrViAWa
fW635nHlyW7okt3a3KYziKNygsTE3jdAWPOolOms26uCBStIWcj1k1cqwbtB1zayoD3ALVnQlx6i
8OQIhDHJvmYO4CLofjiOLrlHCIV6QvInQFuoIzR/DRLJn4pVdCdFRpThSWTJeSXL8JIxH+wqacoQ
82nS6BJip4mUdlutKZOgLU7JEgE9pWy+Dp1LzlQEJMNQ7jHdIZsw/EDbqelLPe9/nLGUPXlv7JeU
jkAex3CUR3At0cU0QKlSmhgwHTdDfCE1GS/RhBeHRZhtrATiirHZcztdzXEMVihbs/AYpnqqkZIM
fFAWSzVqkrsSCgrMW4wVn8DQiWpegvFp07BalskYGAy9qxUPLorltxiN3DUupGuOSOycgCMXYqvh
ORnaA9IJpwuw68XdkHTp5wF5Xi2cWysMzzoTD4HlGZh5+FnGCj5u/F0SLOJPsJ7DS0QWd49YvxTG
S+STPTUC+bHl/trFEMWDpwb7dqi/n+P/vwv8h4zxEFFc6DP+z23g+bP93HU/x4D9+Cc/2sAwQR8I
WTVgI2hSwySl/24D4S77F8UagGcXrnH8CLqHH20gpf+iEVCgAoJPvMweLwn4dxu4h3pBC56jb4MY
FH/zP2oDk70B+0/TFH9Xt++dE/xTkAQAffq1g4GLZoDXoaFPWkvgsHJD6k0J4mWCWmsQxbWMG/WA
ECL1RWacwmDMg0dazP40xoGX1QBzDaygLh1LNAMIEk5DeAcDecA+lq/IMMLvQU2hiLZELbnvoTDB
NgNDcjG1jh+RWbLHevbFNUU20n1bjBa0GPcnxMXwR6RZbWf4MHXZQgXzDcDopuA5s/FdgN1850bk
AJatXuznopH+MwZx39VNi9uGMruijVJcgXccyLz7BuWboW3/eUG23n3AfQhnZe9fvdrg6pANz6rI
b8u3VTVhSSVKRENJ+NC06UO4wIpaIgeYPsOQs/H3rYUB6n+ftvpdyv7bI4CrIMNThRQVc+VvTaRA
AiQSnXX6BPNXcZHAMbLztQq1Hb0g8huAaWdlR0VxP2WSXo+W4qvJNEd/2XGynra29wfYW6aLYjPr
zcYgYqMm/i/2zmw7biPbtr9yfwA1gED/eBPIlq1IipL8giGJEvq+jfj6M4OW61h0lXzrPtdDeZQt
kZmJRAR27L3WXO2LRYH0Acfw+JBJY9u7eVHczO6EkinI2HsrCBjHNKNknEe6FkEwvJ8q2z253XqN
sUSwtYqjn1EV9V7/5U+L5F+cC/Q55uf7Dq+BvoF1WAydhbey4g7da5qYHV6Dtk4+WfrbT7FJf7QQ
rd6jABrOc2EPZ5pLE5DVBlkSrRB1GO1C3TAyNr90pcVlCN11u0sbp7wAQHIfE8n/620hvmGitq5S
Q6x32exZ13bab/e0I57BtIhjiLX4uWzWJWIOa57yZm2OmTEYx3JhrC/JAdgrs+aetidzuTKV/dJ4
8/U6COs0zYl7ApHFXAKhYpxvstxv7oqttwuzg5sj1gmLi+O069c8a21d9q5fuyGx8RJUw2mYLMx7
WcaIZpkP0OC2BxZleesvQHGrscxPpf1CL7UYdl4yeGNcFgphoZPWEc2ObY5zVH+71i/Co6kGMET5
jPClabaHreFb2uE2LG7qzO6vZVCJD/R5u29B1dfIAddBi1toy582xbOtycbxFG5dDsN6Mm+STG73
QWMtN27JbB0071zVUANUcZJDRh9GOal4MPJpu0NRxwUVPNVyFajT6uq1aZTqXb2s4wcsyf2XMC3T
a8dBIGCm2/Y3NpU3e5Z2TggNt7Nt3NN8l684hD/5VARD/yRdfOMhm0z1bgrn5mhYY/UstzWIB38O
IxAK3DtDq76uIlARulXQsM4qs5eia7fbzhPJpZ/M/oPfO/Shs8o89kH3cQudUhtk6/e4KEPYLoNb
QUC3m2PFd3/doojamVOq9qOrR/11Kx42cyjx2kk+qpwNeeNkSR6xXcnD4rhCb6hteRncbrL2lKFi
n5tzz++k7Xk7lK1693rbdkUfRnnuyZuhd61rq2uT720VmB8Dox4/hIU1fgB/3t/mY04RVneMamPm
mvmXxiyPfTsQm8BAlCrOnmfviBOM+Qyiq+AuMPtW7n+9dMW/MK7w3PE5tuKTcTFy//zIWBlQUr0O
yYMYOs+IJzocOzn0xmOBqUzjnpEZUEAaT4XMFwoXVPbdzTY02XZEUsnjxWYNzsz3++QSIFH7XC4e
kuOwXzvwrdaQfBocyYcxRWWd+3w2/qaH9q8+AD0C3haJ72AA3zYKGlXCHshS/6Hy1LTfCmu77bs0
PfRegpxgbNhnEnq89y4YsXzXZDCDybfoPpu0/a+s1Uu+s/ZsNmbZfrY330Lqu5UXuA1zAkonSJ7g
+zEZzJq0Cv6mx/H6PP7fh4W+9+na0LexhPBD8Zcmx1oPuDGc1X0Ae+Q2u3Uck+/czUlwGkZqQ/Tv
6qbYxu2u8pfmONWIMHaiabxzQLF/aesgj1ZmGOfKXYczbBbjaQJsdoTUgJpq6OfmTgVjfu0jXLpf
UfOJHXrz8TtiH/hGYe4AV1vns4kgdonKXm33SA4ZkVIuD1FXuDTbUWsBIJmTDyIDWWEERnDh+CGQ
E/neoRrt9NDB8fwEklsdhxX9Ts6ZBiSB3wTRJMT2zUpH9itRO8YSjZ2w9sruwoPdlgAyIPdndtND
Wuq6M1jN5FPjs9SpCbb716WXoBt6GTilLHuOqLy9pkwuimn9QyVGqKM1Uv4oFH32YnajQjSbJZ+4
89BjVLXeQfSlQd95gVGgbhwTT/vOwQ3ygG+fgYmoyyeTiQpdit7LP/p18dVmTHHu02w7lytj9WEQ
C3MsDrAZCIgY2/x2W1gcq//mRqBI/OkJyp0QAr4wsWuxZ+ty8E3ZwF5dz2O59A9ZZU1QMEwWGMN4
9uYKGBTiQGhrYBf5ABkKrwOlWPfZE5N6pyz2JFCo4zlDjBiTlFBd+rwaIVTUZo5qkJ5HvUvT5jCB
VmK5Wr75Ra4m8/h8mr4IDq3f5tx3jBhjTe3HI0bu/NhQjt0szeTua9+U3AdOg7K9YpBXHdDAcqhD
EDmfoK1tsVTgRzanfr+tLapRH4oFZD6RH8Peo5PBwlpjxkjzS+/yWOH+yuKh7dvTZinMBqzak1/l
uuTU32u35tOHcStPwI0XGW8iV/vQlh+sDvS33XKc5f0gwudw3hzD1OFmLcToRPBu/a9YcGrkWUt5
aa2CrleIiHDn2ao/0sLK2huxMYaIurlElbXY+fNoFKjYVLfaAZaSuvjAtBRdQ1X22JYy6ha45ja7
AeDOLntBHWI9GMuqCxxE9xeOjzyqxhqFHOqjdAfLedpP5FmYfNySLa9qRy7UuOoTOYxdloEkJyKJ
Ao/BW1wpq3lK02k8M+bnqaOswv6S2Qmjk9TyupIJyKTLn1C+g3vRgsGm2fClrlr21amvg1gC4zIj
oyF0JHXX8iK5EYIdHuL2CmEsuRe0S+2PFuZfPB/mrN7B9WGobMGCfxioLU+cdUNks6NS34VXBudg
Vsa+mhkk79CIM900B7XunWVhbjN6eRbB+vaZ2xnchTmQghZJ3xBPoVsilO4SGhS2qr4DZXsAiVXl
kUvZikoK3FBUraC5fSbw96L2yQcRNFB2jNXUu9fH2X9Ptn93suXsx5P7359sz+36+adz7e8/8Edi
BYHQ+M/pe5OezqHxx2gjJKCbpjBPVl9zqF4Pzz/OtI5N2jpESyZYQGD4OUYSP0YbjvkPm1kHuxiL
TgMNvf8EVM1M5M3WGNrwsG1P6A1S4Fx8MwmQ9TQtjZ8HF7OvmQvi+4jXUpQPm+2WL3WzqDPRL4S9
wDSB9w8vqry17Xr4VBTe2O0SfzTusRvT8s06udw7uPWfSyUS56rPt+1rNuVFekZM3ycRQHfbiHpU
fYcZhcI+2Sr/WbrT+m4eOnvcDZBmkktWBNXLskj3ekEj+JxtLfW9QpZQw65BigCyYatxFa7nLHTy
8+Iu1Z5RdQ8rH7AWJUhtey8Mmapvjemf06pSt2iVlg8Tbb2HMjFmukpLl3xHhVTfpcarvDuDM8dh
4JNC8PfZoV7+sKUIBYQcs++GbWMMCFMXKeCw+QxHlrCON2mP9/QCthvlo0jfhZRh3xGlGe9AWa9Y
eJY6vV0MgeKWiB5vl5KZkYOctJ1rDtYlmm38HSHU0Tn7rLq0obOfjHuXjJBPFnkTW0SAQXAcfRcB
S1h71aO0suwOCMDZJewn1fC+9JiqEOuacJaj2W6dDYC/9h7rLFXgCXGK+TvJjrjtWkvo7IGysdKY
KXr4Ii1z6yIOZr4ZZdUyX0FfgBqYlP1lTspiX4wQh5GStV5U0bO80hsw9hKpnyJhF2CQaEOwV8j8
HxafDI+U7fBUGub4JTOSYMJ5wj4aIS3rHvtqnS6WH7zizLk4YYXPwCB34M7yE9/cgZ0s7ijmW1rJ
rr98rJAw7LzZmYIrK2v9jOex3FDmpn54gfqD6DOt12Jfjc1w19BmjdBy9zx2kWHGzrpl7Y6qebpM
RY3SwMu29D6Yuu/ETcj5ZE6qxw4Q2O13lP6Vs8OWXZHB4KjpazPYnnGiNKyek3krzpxj+j0lemGf
u8ZbPoNRCTDXDEvcdo17CMnFwLBg9/aB+ZlNXzq31jsFybN47s0y2ZZ3ygjyttpbigfN0beW/GGV
fnZfY9Kyqhe+XWqDKKNE5dry/M+MkYnEINv81vT8OkFK1odxbWGYspxp+bS6K3WptMT7NOA1krGP
Icw9OuOWEtfBNC6imlmaU9JYjLXapN41rNBoCYV/kZNTHsa6rFneWktPn4kmDhr5xiIsJXTaPUg+
3Z21ErhYJal3/sTpi1MSQl4bd2ppXQlAaTcIS+gntw7gtvBUoTy9Vh2OHFjVEH5Mwku8ree6zxi9
692CETJugoE7EL+siai/lV48jrMd2UMSHuBlTBdRD/Wegap/trdwvZ5thV6M+BcGfvNMllat+itv
7PFKFHP9AEXYIe2j9dyjVzTTgxGO71TGwizb4jtEgPfaAOZVQfkSDK0TFx4ujDYvxidjRuBCqedH
Y4PmK99c63FwSnatoG4qtOoOhlyvQIVYCkimaxpEi3AmBEjlve00z6GDJyRVLGxkA6diSh88wk32
NYUQaMimiYrcRI2xjRVnC+XV0VZ6+mq36xNH8yw2FxkCLnLUXlTecgxEIR68Du0f21O5l87gnn3X
qfce5eu2S51xvnF1EkmvM0lk7aoPduU41NB4HzKdXbLpFBN/nvwnmlnzVfcacgL0gj3Ffw0/yXUO
igmdtWPlk46i1bw70hJJLdPZKWXaBSdCvJzTrJNVUDsTspLqvJVEqDmadAbLyskd+2DZ39YzCS3+
UAdX5SA+0wfFsYDP5rDpRBe6JNO+HnXMi60TX1ad/ZK8xsDQvedqi9d4mEAnxeS5Do0JbB0gg7R9
i6i5m2uEluNdMQbry4I1eb/o9Jl6IofG1Ik0heOjV2a8+REmUnCfvUbXpHz9H8F7oPGbjVtXJ9xY
OutGYsV8Iheu+k6qwvTJt1Ln0Udg/K7vs3QP5dM8VJ0z3yxqCs6F6WDiqnS2jvsas2Nn+fyYgy2+
BNlof7Z1Hg9ktPUaX31zE1jdeAK3aN2NUM2ibSLLZ9SpPulrwE+ts34QyE7XJjBn1PBVcjJ1JtBS
jGWMzY8tk8AghjzFKdcZQgYkPhTfOlko1RlDdsGRjlKW5CGcjojFdBpRLqrkffYaUVR3pBXJXGAS
QPaaXwsEjaeRaQ/yQiKOap11xPFPPdmLLaIuKZDJVq+xSD4BST1dymuV4U1Wa8skDV5Zwf2mM5W8
2XqkUSQgLTJAlWs/MXRkjvYBxwrKQUU2E6x3ZvZsTMQ06OymTKc42a+BTrQMtz3OT4KWhKOigrvy
gk7x3TRLjEbpYFvT9NHs8W0IgB0rzuyP0kir5tRu/pB/oPOTNBPhC97Mk6hk1nmn2oxkuAb/7H62
vD6W9rIhQIae+RJMi7dPSny6YJ7YgjPboUk4aMMJqMD5uJp4bsmSORKxheclzZMzX2UVz01TvbM7
OcVu41/m1Oji3hvy6L/18Z/SXH6K1/2p3CWm4Vfl8f+FJd42P1fIrz/yx+DHJEHWAdSBWsyGway7
TD+KZMtiJoQw6Hf4S2jqmdCPItn20f/wUwEQFsgbNNj+WSTb1j/IdyE/wbcB43Du/09qZLqkb2vk
wOV9EQ7LGIO39xY/U/dIPtnRV0iMHTADDnDrVFfNLnC91rxquyUAbV70/qTmYwlqkDQpLPlI98qm
q8cn2jMT0xitkhP7asAZvxYMTZu+Cx45mneICiKSHXNrjrqVWuDggOev8QWE8lQY62qgNAdkVC9n
jALstKx3JLxTd9NUsmgYouYIGUL2ymsXTscFOc1ingvdIpVOkjxRpnQwCLyPxtguRxa/rwmxUFwJ
zLouapSJdbExD3VdPbTycsaoecbAmsJz5eANADrcrzhhVsa7CrmOV3nbg8Ln8Zn2DpNgAnuXGyIf
8L+IbGIWPbATK/zvqVnR6liq47ZADo/dsM3PXp32/m0YTgthadJECmEYaHs9luZxGsplJmILTG1W
O+WpS4b1UKjBV6jjG34xyvGEpsGSLHfCTZpP0yqth5UUluXYTgVk1XFkZ2O+hW9sTGmsjGU9xIXb
Lx8nCvTnRLW+Fw1p323nrYVUhS/B5YPiKZnFR1I3epiuVnUchTfgcizpi6Vdb+1Ga7jm4G9pRgHI
CRMsRkey1eqeqdr957CQ27WY1nA85gXcyEM2DjAjFm71GEq3NN/1XrkXNATqoz1VSUSc1Yb1tdCz
qrEoDJRNONVpCzhDG5sz4lJOGfUJPlgWY9ubg4NY15XsX+KyaLAt6UGCFNDVWde5Ee389buf5OZn
BfnpQAhgrg5aVrMHdiY/12QeEaE31O5x5pjwaJF6egUxt/rYwiDZJeZirVFnpBOYZ8KOYzH4dxD6
hpgRYEKkGI1PoKkVyWymtVnLPuWhfpALTf3MH8K7ze1xgSfDHM2IZS9ZmGw+Gah1CYyYTDd4ZDMy
mMJozyCqxHmqQRAQ6ZT8xmrA4A6INvyS1AunIzlOS3lMp148JVU+n9eh9g842zgFhE0yPiKG/2oy
QYkXGaiYwA+k7qyAnNYs5hS88RutlJQU3WsOTM6lzNzgk5aTHZcx85KdOyrLiskppSmDMsKOx6R/
Avsw3PaBqb5UU53E4Dfl85x39SlRSDIiwzDDYtcRardfOmO8k+3W3PYu5Nrd1BYkt4olTyJ3LIPY
ypL2vZf2E5GmYXPGl5x+mJAcYUyYkuqhdDoRjQrHPCbP49TCpRn8xEG4QRn6zs36OZJwaMJD2zhi
ZWdJrOTq1U7EFLK7G2oqZtKKONVapTyjdGujTdOTlk2GuyaZvhZm7sSQQtfIxUx60nBc3Ibi87bK
D+AZ3agp03CLw0X4A4Mbm9M8h5+uB6Xh3a8jLmNeFjrjLIff26//7Rr9TddI0FWhb/Pvu0a3OiT9
/8Sfy3b66dn44wf/6B55/wAvxwPQ8mC9OuKnDGnyTgkbo3PDbEk/A//5cHR4oppU4vwxoHekEYgZ
/ugguUSdMRJkii5AGmotxX8Qdeb4Pz8d0VfTpcK1LHyAoQhHX2f2fxox0grjCbb5VJem66TqmLP1
TkncCnNX460xJifcd7XPwX8J3KLf0SVTnwwOQuRP59YJb7BxnfDe94TO1IcUYnTkt2q8aWmLZIM9
X0AW+7FThd4VcXNQF5uxI8YkNa6mPMBE4dD1QF24YdYOJ0wObWEcLdy4OywvfeSNtOX5fdZB9OQA
7nCS2kdmiEnE+952mZueiKa+8ehpXQRgIoiMybtV9XcbeiaqApOZRmed+hF0PYN4YCGVd8GaESdz
CWYm7V9mlwztuehGnkxDEQ12I2+SAffAOpnxtphfM8PLd301GvAxCwxFTISObovZtEnFEVRM8yGU
S4F5oMxjVTn7ahvuhlJCjEzL6fMgJvtQ+XUQdW43nOza4/VrC9eT7AmOa4LwJMk2ePAJY6ZhYKlT
V4oQgwBekBXGyCmdirsBYF3Uj6XaI56ydjND451jdvYey4MdpzlaypVQxd2CdONS5v4NtOFkZ9n1
A8SGdT8l/hGU8qljgLVLKp3LENJFcHjExyIxj/iRrcjN5LM7LTJaJv0huhLrMqbWuAJURoS44e2r
YP5CblZsb1t9wVOSX3UDDXlbbPtW+Qcjr7qDq3p8waUHhZae6o6olFOYhJdJtmYE5JfnLnE4z9LO
wbSYyD/GFlS/TcvhIJw0RDpDlLZos+LJLzqiai3IwvTMwSFuFqfF0ZDxuJlOTK+QCX+QHrfZc3Y9
iVKoBovfuq2jc2kEZ9kkNABdYFTzOEBhpt2W2TPNOFgrnNqNfVn0T+3oPQebui7EioNo8ZyD0eSQ
m0kjO/pdzfO4+K3oJ+dI4sIQrcXa7HmeGJdehN9IrS5ijotuzD3xhCxoh7ZXV1spAt6iPcxpKSOR
Jihk0ylaoHVFzljB7Z3ccy8K6zfpKCsqh/EK4csXJZ1tv4HV2Bd0U05ugwhCqSagmuJeIOy2j/20
I/xEkb7toF+ITKqduLQGqkIcl6W/JbFHWGs0Qo04WhiA9i3ZZAcP2+AhsYv3g/DSm8bM6oMdfElx
eV22lMrAZaz9hG+yHqPZy5yYYVNOwlcZoAD0zF1RZvLY5eHwRFovD0k/RKrkBw59IHUzTkN1CIpy
xfOWeQcF9St2henvCXNPdxMyp/vcGwjgJkYVCFKQkS5VihhSUqFlHd7ZEkMS5WmwnIRIzxPP9ito
XXNMZl73fsbef5gDhCfQkPzIS8M1dte635luiyHdLcz3Eo0vdjqS6+ulV4cp68C+zwpUliqbR5iI
8j7BVHWxmOsCdKKdxETYKLM98RBrvE01EIKqKREIj+WBtzpfU6fa/EXjGsJPdURgiE2+hLyN1b5o
guq89Ki2Z7Bwsa+4np0a3ZPPVHGX2+b3DYxTzJjPvegI513hTY9mkJ/xJXvAqnymq4P74CXAbFbT
1ryTrd+pFYaE45A7j6f16zxVDznilMSa7yuOCBqeYx1lbnyrHSUP1O9Xw+QDoOHvjz5aWE9KquoG
LEKKtrQm+SCWCQcMki0CGo/55x7m2i4N1OPYiu3k60kcRkNc1sE8RWBJ5V7krYiHpueWwpN5g+nm
MNfic9jbWEhzUimXekRtJDICw/xwPzM0ZFJbHDen/7ZQuu58RZ67O2g8UGVZF3qwIIwqsexRx44E
wJRMJMI6OGW2eddW4jfPG6/BOxfn0d2eke6iZc05QVXS9s6zmTdPYbh8qDg7xF3nf/MySqKFJIlo
TasnYc1XvjPBlgjEJW+HmmTetrqpaNE35nBfZQnwOGjbdPX678OAPS8PIXO4am6PWHzzGLByse/X
qbqWFd4zEL3BzrUT2qEFdlA7+y2UQfgEBO7UVo11pbwC+oeQ/WEKqiXeAl6xUeqpxxh7P5beNeaS
jQwP6BNA/VnPVlodBuQKO7N2H7sS8Yo39fmV7PGJDj0st8U2CC2aBXkDPF6yuvc+VeX2keyR+eRL
/6WdAcxkyGYPM0cSkh4245A2iYZRLuHdVC33ZkpFjXJXv/H1puvHJJpc0UV18tAWqt2vcIq2Pie2
znMq6OfGhzlE6Y/j9cXOO8FeOM/ngPgR9hoOGZB1vBP7b37JsGcccWQ2+zUw3GjWMxuUVfYxV7Z7
SP3Vppzv7Ah+gXVM/eLDiifsTKP8SU7j1Vj2A6V2+t02AIRVTZUcDB/YmtN51sFtYRVbTm1egs4U
uxZO1k6xqx6AKbfxipPAbr5UHnqU904+JbT10sDA5H3aVkj7nW7WQVB/nhJSdliK0JtQovfcfXVw
l7hDuAJmyUSpF1lb1Nj9T71o88WKfK1/em/P9Ng9+DiSRmS6d8eW3Zu8PobbdOMakbgPmCV9b/hE
HEmjmguBgxhsI/yK2C055FREOJAD0aGgHG7+23T6f2o60fv5VXWN6Ywsq5/aVK8/8UfPSYTEBwsy
2sAg6yKaAvn3nhNa4n84QKxJhHVpFcM+/WdVrdODSeGCYYv691Wi/M+q2uWPXBNMKiNUuHjMU/+T
qlrrmf+s+eTtWJTTQGuJxnIQMmkD15+K6sBfZF3PpvMtM1VXfMe6kthmvKJnxUk7TYWQzwVBDNNh
lHaF5XkEhPx1SyqaQFZLcSkOnaGRC2UPLY5bNExMBHlsrdn2fjBrEhmjgZWlPIyhtBiMaLEXOI4R
i5u1hLB4HgUzOr+jiZyanbG+z5BzDnv4oCkZgQ40C5gcaqY9d7THFFYMM7BCY98ZsxhBcmhoe3d5
xAg1IavwT1/k/e8Srj875d7woB2ONYgZQdLzP4bXnJd+vjrUXRZsT+V+I9liCSuSu3iIlnjSbZxY
zGpDHY9o5U39XXd55RP5WzoGUjAx5POQzJxu73/9lt4I5XhLvh8y5Xdcmn4M7d9CctHJbIRXDemL
VZmEDnQOFuAL1ZZ2/uoDAIVzDarWKnaAs4IZQAPybmaIZkekGCw0Hc/mz65RXPAOjWa2V0mqZs4D
G1/FfppUhgFt8Ih4IeMBCc2tUqXFX6sxIroUNekIFOlvhFOcVv98EyKz1/dgiMHStUKPtfDzZU6y
csuNsmq+mSt+6EeYREb7wJC+Vfe/vnpvjpC8kFYhgBl2aYJiBX1DhpZYOkLGDMmLzbcN06urkpLS
TJis8M32C+duHVsdziw9tyKOrUNysDxg7CHl7dfvhJ7xm49sM+uxTY6yHGrRXvz8kS07lWa4Fd7L
MgaDd+t2ssAiPtAv8u0L9i/FseHXr/iXi+zaXuBaTPKxS3MV3nx2w0oNcF++/bWa+4EIqF52Outu
CZROFfr1a+l18b+KSMjbGpPsEJDLDR/g/HzzhYq8qcoud8ULBfaYO98ELsIsO1Pkct+lba8vcSW9
meTEX7/wXz8k9xA9DJoRgcum+8bbSgzTCIy2HL9iNZ8DtSv8KlgeEtT5XN1fv9Qbo6n+kCFNCCS3
SB/YvM03F7SgUVuui6hfxspxa/+Uh0nzvoKA1zMkJ54q7e62UCVmfd3mQ0M4jbtkpKUWo99xxq8r
NsSEwjmpw3eM0H3gPtnSiOq6XNIhkKd5dUjzPP36Tf/li3H1nMLxkfRYJo2eNxuaFZaBIJe0+drI
CTEM1L+wJA7VkgZpYG3ttTZQnKUlN+/Xr2v99YshmBZHS0BoA72lt9tWYmgtCIfzLxDqLaGiECjM
DAQn6LIB7pyNErQ6sUxK/zO0VsiUcT8MQ0i1aGxiecoJEQIsQVqhmgiux51ysBtPyCu3ls4YxL9+
t6yLNzewDlimmcUyCQnisd5+t266dkM9D+2XLMgFS7EI5KTuaT8N3FRKYhtcjuFIP+qWrLGc1TQ2
sB6wNHLQYbMMSyeVX7kB6+K7h+OG35Anjk4mWiwHDcHvGzBQZnYXd4Ov/nFMQ1AdnGH8kjt1qVDH
26+56zyGkV0sfCNZnegt2hiJQpexkOQcvgOUMm2flGTdezskTwnXQhRMYvqdqXIdHSSc3mV99xmc
M0RFTlF/89bZojmDhGpU9yz/0P3Y5AzDnwcGs7xHqyvCBokhwKGPsEm6otnP3kZssJpsf3laBp2e
ORb8F+KmIKlxSbLMa/nOBAJbXhpRTE5XoYDgxELH/qrDdpkCFGheJTwTqMXjCj0W2riVcwza5QSH
1N7RXbaMge7q62GRRJTAFjySZ0EIZ5GGvPQfkTk2YYhtbKSy825tQH39pz7IXc2nWPr8pnKaANSH
NW7NVQY3Y77M2FO4lzboiVy6fMkJIQ1o1/OwJNNePzNJ2UAjcuqCfoKk0TpNRxDQjw/gFszKQe74
UOuL2DQTHfrmmg23H7IYvYn9SGTiiKNDrnO/kzVjJ50m98fvoJ1jDHs7h2+cRdxyLSQhO1Na7TXb
OTDxE1ILNkdpt3wmMor1VXXKcuXKuUGH7PS0rlNWXppqmBlcWVlo8lK24VO1yS7RBPVO+lgLYjZ6
fbu0NCmL7zYJSNw0RUKD5QElcOsDHcLFwe0CWVKwphYI5Nw1KQFTfGf2ZvILAV1YiX+Y0qkM7Ivh
bLn8imxv4Rq221Lw+vRPAit5DCrT45oofw6q9ZxgcNbZSqrRtRsafps/kyj49Ycows4jYI1ItIYU
PmC2vGOfuQbvblD2awA4mnneyWD3Dh8N02tvL5cQthO/pZUtEy/an3bAvzFFokVASlI78ZYkn57/
uM4IcYrYCRnWe5EHl1J+lUFPYEqMtoDM0QUgAm+vqPNA120JUpL8dtRgj4/57PAvERpljY4pnFBf
436puYIz4jkupwp8fc9VlIBMPaaNSEnYdZ6+RXVpvTx1QcM/e1paLGC/mNgbKB0VVQaJU6xzOUis
OTuVlRRiRW/rGNmMsEt+6UCqBN+EO1I3gnnqLHt58jE0cxUYi3WjPC2bORb1jSaH8Qt7fAW8P2zs
nJijzeZ4DASmDBUR71tQgT+KC/MpzEhNXGKMjr7embIqK9TBM/FnQ9ns7MNUytQxITaqKoNbZXbq
3pVy4/YPRiAZNCprXNKEdb0m93quu5RY/XAI93hJoCznd0Ro5gksp2LW33CTkz9P+5u1vBjnfDSr
XO62oZ/aMdqqcTRWkJ+jz3tMDFr3X3ukKq37uRktnVDfAOFJ28cQ168DmHdswy2IPIZNa7VnI2a7
2U92WkBlSru5DcMdkg0dJUWu/JSd6BzOWjcalGyz3lfF+I78IjZbyWcGWFsq7LpDtmVZel222Wz5
t9MGxoGbJycsgDuRGS+hx+hO9X1pkknOPZTYOWDRq1a1ij/rxTIP1q1yiZh7HvuGqxTXJd9Hs9tM
w5r7W0A6gi23aPqZb6mxHMIi9q2sV35X2CP2tyHklTo+3czJm1sO5tSt/E2OMD1/Ng2J3pfwD2q6
wlToihB6Tcr21Dmbx/WbMvCFtwtXkbVgiWnkhlr6wZbtmW9fp20HAGydU1AxAkyvss2YeWmHeEje
P9slj6NFdii3YhBF6ML2AXNJLsI0zTpRevNcJOo8lAfJ/iCDzHDuNlMS7AmUs3adU9ej2Mr2QTu0
iGVroUssAmpK+bUO8AXc/DiHsOvri0NWjd0SHD+wq4b7NCtW28BCqBTwYsQWadwna5PsHaDq/eOP
ZOiWh7/cL3L1ecd+sRpcpZYAXBZ2MSvK6VOQz/oK/rit63zVfyYdMDsigh6nC2dStfV2P8KXUs+W
wV1p722GyDTYqURTk/VpMIuYIidIXJxSxNf63S3uuaaIxxCikkGz0JKEqTVrNTya9VY9hcg5/pnS
i5hiKQ9eu8zd179G9QI/z/vfoDx4zMf/TUovRC+a7GAJJzzotrt2qDz+NrG34rGKZ2eiX9TzHf1N
Yq+Du1GQJToYcvr0U25v0Tvlhu6iEjIhCvffx/eGJPSZ9OUFWq4rDP4YD7ypvFlNyPmHPwf5pgXO
DB583uRfRtz+jEqcSbyJ84WS6GuKtC+IC/hFqC+BbBY95YmuHL69xHaN+98DfsFTDUV7NDtfdv3+
rzm/juGM6plRFSELP6X9VrCxh+4IUzBV285c6LbF4f9P9G/hYueLZr9rffSGozuZx/8gALgNylm0
seVOUsH3tCfbSG8HwYcp7n9U36asCLZ/WNO6JeFipTfIY6mrbUR571fpdp0Td8k6QOlsTTOlRoGC
7lKNJebKgiGKTteapAKBlzgONoIYHishGwmLuw90+TjwAGc5ZMCS2Rpq1/TYSnJDogM4FPSa00p/
sG4NrlSf6pR3NAMLjx4QJwVPmanBmK6O0vf5nYfZhUCodjDq9cnBx1TFu5XOUoPAmfs69z66zUgE
LHNSwy9DmrZIl+Ju7l22SXccqeyDEpaCODrCpQrG0KSr6FCuHXtZEeT6oZH8D3vnsR63cq3tezlz
7AeFQhycSedmzhI1wUOJEmIh56s/b5Hy762WTf2ee7JtJTYaKFSt9a0vGGM4coYD75tbZPDuIg+B
beWURAVTZ/YU1SuTL0pdgnxcZ0zAbz5mKrc4o0fEe5Qm4xx03CAMG/XJyaR34kqbKEa9ve+9hcHt
PeLQmj/DWhBhJI1ZGbLNtE5JYtS+DVK9T2a2p1lDjMUCrqgIKxg7L0FDxA86KYyPlyer6xv360jk
X7lzrdQrLqIyHTgWu6rStVRRebpkiQOIXQH8jMLtxI/eaGeGvNj140QIC6gAN8CdJZy4t4HZONx+
9nCdvgMgDdzjtkqfUj9PMBvy9oCPk6kRCzcY9dULCeHVgH5tp0HJYAYT7h85FFwKV59zhSvoSYVm
+fzjTiw187lVXyGzAh8qYn5iiTcJtviZKNAtryiI9FJMTOqAO0dNofM5xzsxI1lHP0YOTCGeaP/6
7sGvw4lvLFPkcM0BR00Px8YiyoYxvlkwAQ6D5yHzHOzb8QeFZ3+0KUeHhwXtCt9KLJUGnxiKDEl8
rKB787PMDmOkEa/6WTfyPrbe7mcFXiemdTLiKtxt7MwqKZzJA+K4HMqqaZyDWUXt4N8sXQzIfuEi
BOB65sXW74GUjclXHTKKTMaitn5FyF3SgBdTTP5COOAE+JKKnNY4qXEFQnoekvts7WvLw/d/Q+Sg
Pl2JqIg4NPsSNxp3LWVFFehKDGYPOPLr9QjfC/uEtckdSH+Ei1fwC35f/22qEvwTx9z3OC5FzHXh
UQfdiWvBMyTSxbys9NW+vx4Z8xMuth9LHmrTElmpiIKSQ/Rl8McIpyoH632YZ6pmLeTrZKYmSHd2
g+gbJXthBcWlGkU0oG4gKlzg69kpAjI2OUN8nm3PUJvPKhY8tB/MasCKComGLq2DoaTlQxyRNC9D
Qz4q0r2sr2BB0FvaJM2MossKoiMs1pkyLd0EphVCiwe4XPqBQHynvKTx5DljHr3MpPha9E8u7qDT
sJ8wKM5ehlhM3JTwvfJpI3Og1mhLv+HbohLIKAyKptP7lb8UMPt2UxSZdF9FVEt+FdGzMCYyyIH5
Joe+Xm5MYzDNNSS6mHYEuWzUGgffrWT/4C65JP/aGAX3H0sb3XR7rq+rsGYSusnHSlAX8lFVsj7C
NtRj8k4B6BI05BsLw+5mcLCyQUJVYhtEEcIesIianvdYe1Uxtrp/YDm5Dh8PtBcuequs2JPdQ+U5
+E9usUdm6R8EQTa0KmQLz9/eX71iyHVplRsqIJcKpgoh5wzxh1YvDJKMuEwjlLNekmjCx+LatCfM
Brghi+64nQAyjLseiRngFcccLKouXaS3FK/zmEb7MC6m/hYuzUL6ECkt+cFvLXoKDjbDtiOaQCyg
vZ2bZyU/JmCOyV6V1oWuRK3CYhdfj+9d45RFsFqOdToINikK/t7FCHxkd97inaq7wPfGIg8XfdEl
ab1ztOYtm7HH6XymW2c2HrYsdJokDMTWY1wUPFI4qvrS+2LiJIRw0IddtzUmTCUuvQpwhL+4zKwo
4rz1htXxGGGv4v2WMLBDId4uTAZQJWcvspx0hz6/7xzB1OpCV4lMr8qPUaN/gRnhEEhKHAMdzxGn
AKsP0xPb5Hz8OoWd7jOH2MhjZ4OKs84Jwu4bvu8fPvIUVQOmwtPUIZLO1vL/U5x1JtTLNzu8whxy
htnh35dG7hsa2f342/3+UdoaEWMHPTBiNHWCrDJWr5YBdOIrCRJ6fypdWw4UhWzW7F0ff9YbGvh3
/FgAHXtCOhaUL0xwTmHK1tRcU9zovk5S9TQy+LTi2rN2OjvmNYwbpbONFwzSs5e+sB3sN3q8T/18
XXUWfTcohJ5sBLS8eu9535l/zj4KbLV1ieQxXEVT79Yjv/r48n+7VaihcR8M4L7Rjlum/vO/zdSm
JlQ42njOC1E2E9fBAaXbQg5XWqiPP+q3NYdGUwaMgpgEWYSunjwVyqjEgnJdvQSxDwP4EM4YQuM4
4OlXxA2j8Y9L7nSEgqWi8FwLlwlQU+s398imbqUfgd+/VHas9yhSF0AR+4Sd/S6yAn1mhYEbseP1
M7/+nlue2Vyz2ynn+PF3P73NTE0dR88yGJM6Ag7Ir7d5LLppGINIfgGToG+eYwLEv/nYC7IDfvxJ
p3cZ/pXJt8Ubh08DHDtBzTMKQ18KuFA9MZDZZVflujWHgy055GNLV40ff+CJEw/+F4zBkCP4ElEB
RdPJCupSf2EzmZsvDY7XrCACtPQ2x6Y481zDps4nrN0SBJHB2sucmJPx4wt4c839+xtIqSWtwIQJ
6sH4dKT1682d7QgqduUVX+rYnKNiyywLBRmoRxykJBrosmVoYl0au1gl8dB/guKG02nIS7m43sTH
8f3mKDwvuUdA/zNvcYkTDN3CkuPfIakjxtLHnF52OL2tEpF17NYYe+vDcpj7ciixTjN58fH2YIYO
l83rAY9wP5zGhPINiG4Lwz6xumPCaBnGdknkIB+DfkGXXUZjeXQx2F3o4xzbNmobr5X6iK+qpuKy
vHeAvqW0Z9cktFAXTQQTvVV8ltDFcphiegRq0+JmCTwWpfAuzqxhgqZ0HhcZsOzHt/+3BecREWlC
Tyf4WP6+tHs6i9gwl/m5jGsIo4eo6nQLFKD8ZOv9CVl//JH6bfnlgbPVknPBjAavZ8giJ2ucQdms
w0vGZ2IgNcbYJ4GbXUIHtjLjykS4yQfDje1poiZB0D0gLBoRfvPjyzj95oSD2NCyYBTztRm8nwzV
CrcuRp5l/JyVwJ9niWo69WhlIzEvVtv9wbXodAeBmqwFN77tSgz0bedkkeNnFCVx1bZfBh0v/+Sg
ZGNZpGmlK6uPv5d18krz0/FSITvQ9Zi8EXZz8sWicTLzvBisx6LtTB9Wr3C7aBcBo9LpJunI6bBi
4K34Hw/AhnU5OTJ4ollzoH5VwLpAMLQ8en5fjeTzgCOgq6TCTiI6lNhjE/gWlymhIGt7MjQM4Hdu
yUs4+K6GiTF/5G8PhpB8OYNQXfsQRYaeFIlB6f2ahiCb6iOG/smc74rSjOx3CtG/tVU7ud/cA3K8
ER/Bb/aILj69Bw6JuIjM++mxV6k+mcOSUQXec2NJ5/zx/ZYn61k/UzYvF8IF5uXsoyfreSwrMFVh
hw++Xb59Vg+F9Cobal3q92z1bEHvs3cUr7oTxCxFo6Q/f4W2SCMExmhycx3b03gmvWDFTmcpzMzH
o5GlvbFctLyqyH/RcmTjfsZBnXcnK0LaY5y4dFvyc/DHtEgPkYw8tXh3FqQg/NlQKv3A4e/yKcbb
dNx7hyYQy2iM13AgTjN+FFQtMBgHNv5y0zWJBpZ/jtB4I1m7KTMPzr0wBOWQq1mgFy3/cN76vz4+
7XPOJB9TGx17T5z36eOr+QaY7lbhNzJ+vM/EvTtkXzAePWA7Utlg/DFxPjZC/tlP8nCDZLs4KCvL
n4YI2TK5OZiCBW0EcRUH1BbZfFc/hvSv7U0+tUO8jv0BW9cgvVWM2r4NlY3xg9sY8bxmluNeD05Y
nsfo7i85keKFbj0eso3RpvITVN9qOIOKmSJpwpTEhlzpZE/GYnQ0BzlOqOs2aG5sTqVsZ+eGvMQd
bNh01VxvmYnnT2g37bM8t5gSpFXn+BwiIyO8TuRfYE045zNRKQlhSLUpNrJqvAeL8/mlikvhoO1y
YyCMqG33JCwVD6Mn+6cEOTY8KNOwCzz+neo564P2NTeq5t6125ayKOwPyOHI2mVIUa0Rt7nTGvPT
xFj1thogJpZbpF4DgE2cpp96nL9AzREDbLqxKR8WMlg2lJ86jwi38LXpmrd2N5tfLTiOX4S32I8x
Ng7reEIgnnltsiV7Izn/+CX7dbNmQTBWZjNzKBV0OvgpnaYE/vFwzC5eeV7TTYDANtu6ORI5Hpvp
Pn78Yb++0O8f5kGU08c8NdxpRRIuNqVdExSvrukpOEKT+YCVrNWScZddDrbs6f+iUt0yIsSm9ePP
/m3lv31NuDqMbNjET/uR3mmDElNu9YoGn8ZVIjqYdkoKiG8ff9DbT/rnMfz2LW1sxKj7AsGBfNpE
TrhZWSjR4lcxlrwz0uK4WMEfFgme2rl3V1jQZ5M2NPDNzp2g2sihggEOwdXdTHkH7QuynnvduE1w
VmAl9ch521In9Xn3pBTFi9UVqlpZnbBvzSEtfqhe+hcF8Owt9GELYzv61JUohVmtMQy8lipgHRue
ckFvMmZxYgwA1ppgfk1LBANp3Tc7ETnmC4kacr3w/P5QC52Q8LglugygDOK+SM7o05JAGF472TBv
X+1e3/w4kfFelml+mJbphWgksltwFdj0VjTDtW0M94ClMCbrHz8ZRx/QvzwZT5M1NR8EhS7H+MmB
IrJQMT6IiQbrF4Iy86LBUANBb7BpmZJ0m8FWENdVN5FgZ1TqDgBfHUpwq8uhckmPwkfduF4wCjiQ
SwVwhjfFF5WApxMcYlwmc+FdzEQkFcSjPYCB5telwUPDcpIEn/XSTYxdiOsIYQoH3h1l41DuyNP5
MbtpciW9KtlnIMWHJCqra+V0ebcpw7YnmSfuH03Hym6NQqd3u5MYdxLGNrlETRI9jHkQp+u4NvkC
8YStw9Ah2GN+XadYlXEm3tuO4V8k8Wx/EqDa6N8z8nX+sOz1vTu9tzbogschBU9Wy9n+3jH3QMI8
d4/w68R2roxapk9VImeMoevCvBKjNqj++HGKX4mvrCoktJp1Cx9JQsE7NTsVmFc1iqPze1ql9hmw
GdkHIaKBc4DKdMcgomOnd6LmtZJm/pREU3eRJIF5S5y53H18Le7vS4tSk+3T8rFocsUpGbAZYYL7
UVF8jyYGDPTtZfilbBZSKmtFIE9NfhwIhyqJN+8csMJNGrvOIYYOuwEnCQKEvgYM/qZ0vc8kpQ8a
+gVCL4w2vszcpD3UUk5Xbh9HR9xvIhtVS2CNqxabF4KpKlMh8RV+ucba2qn2Brdll2adcYnjJ2aR
QBnGhUsu9Q1mnhxnKRHdu2jk9F6X2NleKMa8VJRSabeHOifFexhxvyXqK39yBlpTapH2vrOm4hir
XBI162FHx0pkXLR2Qf1uZJAUjFxh1OEiNDFX6tw8j5AIedXlWAVti7tK5cKr9Qn4O0JOQRFhupH1
qWvK5DMW/90P+82voh1ShOIfP53f9x9WSgBpDuqattA63ZKlNUKBncbsu++CD6yIj0i/wvKYsbHg
kdFTea9L2+vMU+Mr+joC6WZ3wJjmD5fxLxYsKkrKZglz1QYb+PUdgSnVqnbx8u8hgRP95u2BuEsf
5xdJTo6iuQzBQ90U/W520VNX6KOfYzT1FetkEQ9/uJh/8cJqkzETtqUF1/KUsYtr4DiUxBV9x5LL
va9d0d5ZuYHaCGD3nHOxv+rzujur7EId80mKy67wOMgQZ043CemhEJKx+r1IjF7+gDlfOyu/TrL7
P1zlbyUD0UDQ53nF4UzTVJ7cskGRUhbUdv8d1LuOHqksHMSTFunjfWsOV5Y74E40tovrb/zGKX/E
C3nzqyW0qnEvvbJ9coI8ujC9MXu0GlQ5655TYIexQs7tjhB72bXCDfrtqv8rY36Yq+//+z//1txD
T+tY83+SMa9fmjJPfjX5+PlPfyouPOcvygT6bJi5nvXud/fT5YMAIM3nt+EnaKN/XO/+n+RCun/h
8CFI7QDEB9d0WfI/hcxS/sVfJbCREBsWEzlP/4nkwjN/LZuhlFLKSFjRGmuhfPbkr2+yR5etICqn
h6nzMXigAYm9zdJGOF9YQ4NBUjdU5LRgYR+7x9CCpXUsrCKADsU+Q/T2iIPUTi6TImnTKaP6YOTE
viJqGgplrsxYtq8qcfyLOYxJVSg7cVU6mKd3NgGSq9lKawyxXXmEBcmBMqaMClckk40rshv8iwB/
gWeCnavniuSSZgs3iaJrLIR/IWLLfimaQVypgHhlrY12XXTQll/tLQjezbbNDP1PZKjUOkuT+caq
u+CpB+Ky0AiTiL2CsjTdRZMTPCnA8bsmteQxzBSFtKwmr7mOrCIrz0qnKf0ztBDta8u2/JAXCkGg
iBlpCxx8YUTYqA8JIZP9msaKr1EFNu7syDObA2wf8WAyWHvxSHuDWGH0BznE8nEZ/emmkCWGtdKE
XeGqVjAxBr5dVfC1n4gh50ej3kYO6AUp/VwVLO1r2iTcARztrIekzatnGdZU5pNs+Gv2JEBlyPF+
mSP+HXZVXIAjtJ8JU93pxpSR9ZCGcYkbtHRpWt1g4lvbGZ/pZ7J6JjCa7x7kzjKs+tGUV66dqPMC
OOdKZkZ64Q8hMlG4u5dpmAxH+FTZsUgwbgMl0vcTMUNKVCRxmu6Gdc3vvD/QHHJIg+A6DJ6sXj9h
sFT4v+bStp+xwcNIZKxCDPenzEqJ1m7zLLk1lMVXKOeUn1IxvUpWPkHHy9rJe+7LmBpcI5SyHL03
Mbwo/QwvwlilUzBvtYTQ/IQ7uo2IXJGbQhGw/IjpVzEghWL6BLXkrltaZzcXsWuv8zAJnxarTW+9
AWu4FQw16ApCWQ+FzQLU2SWsWgxjdsQQ4+E84yRHHkto8d+fDrp6EXUE39zELuI7GHwDq4ExJk82
kJ0nt8FMpgGTs95GeOlRrkAHYPFhCRBvwgHt7sobq+4V2AMPJ6h44ipmcD1uvGDiAaP3RgFIBCQW
7aScFvNZQTRRsibWDRf2gSXqrgSv5UVZBQz7vTSURyMdLLmeR8l1J4t2p1GY9N1JE2Ukbu+KFROK
vn2dJpuPJDyBZzfodTLj+v7c60cEZiSPyumrZ1+0/LCuxryGACVAcZtAqnnAJaeyRfXcVGn49LaE
E8Pj/mZteV7qlz3VizR0h+lulD23ZKQxupnwfL9Ri1We23EKCEKbGzwxAeDGdfAS5brCzg4vFs8s
z/OCCer7KwGxE4Q/ARpez3HPwzbZOBKR1M+L1zSH2oH9RuCOKx7ssQyfCEMfjBXRyxgkcuKqdY75
SA4fbw62i+Unewai40DktuLrwO2EJcoEmQJ35m+RSsACMyQvOR7K3B/CfMXDgKBij5UBOwh0Siz7
4zLAJCcPLpba5RF2ycxPKAms0PNyv/EZYuNHfZPWQ+RtjKad2U9xsNzgdeYdXKcxd0jSgwunnoyN
HIkY0AEtfF85NdG4WzCkZnLISxGurEZxQYtkxyL/dIzv5naqLqOUAUVC9PZeYhl5B5fWPvpFZgSE
j+b8HBvSzDHLiHhNO7YM6OLioYNsyR1U9nRXsdDxc8HY7Dkzw/oQiJaBPAyVB0+y5gk/GMMdkE+D
FJrcOfsw9WyRWPIGF0QosaKMwOJB5ZYhHkIcHir0NLAJtrJQeXyGRCDZp1D/98R4ZMt6GHlKKE3s
l5Zk4mYrwpk1Ffo2C3x2Fx5r0+YYLJFpm6ynQoiHup/FQwqtg+arURT2yixZL6Ltgm1ZsErBpHgj
lFuLq6Qk7EcxTIdvrAih3A5I0nkTBfQYYrYafjzOAu1rlGFGncQOqxvY/wFIInhqEkek53bVwxDC
zLreva15xiL8I7PjO6+tWq//nhrvqieK94lhoMf3NPW2N4yi7m4HOKfTDkSQ/a1pIRvksdTrMZhb
XCxqP3gycF9lVv22paUtkWibyhtZSg62Pv2RaLHaWNXIiRsSTwwBQMjbledZQBjyyO0FZseCiN9T
g28/6YmjWE+108S7t521LGPh7sfYr59EIoviaYyiOfvkYFKXrHNb+3yLYUz2dtw5LzADdHJyrW5F
3OshErBZPAXHpmIIRflLFbuaw4gdmPgXcUVSJxtZTv3Qr/3Sr8gRiuNCxNegsPDBUampEap/Twmx
isqiFDSBS3CuwIuwQvQQW3JLkiC/XdL8O6Y9ueev886InjhKIc51CGfO7AJ72FUGA+Sq5J1sNjFb
TAkeT1T5WtaN+1oW6qmMRHNGO9GbuJH7o6Zly+aBafSxDPRB1LpF/oDhYnXOGePfCMDAkHd3kLum
lhiSCNFdORgJnLc9Td3gR/FjAmxIQlcRfqlxACVWrr5oQZ3XDabpppfyDtDuCkX+XNfNR2jx1Tnx
GpgT3ZixXa6x9SJDpd9VYPw7Aw7RDaSrVao8lF62Y36a3RyBN24syg2PQpSKXRUTJSByonRx87A2
FUakG8u18CCjL3GwHKztdF2VljoIgXM8bq2Vj2d8JndZYQ24XeJ1BSt8PHNwLiXtyxvnAS5MFc/0
W6jbDsgxEmitbQ84YpHQct5Je7n2J02ITcG0vWSqD8lkVN0KDtajLYby0jDd4jpZMv/Ms0JWr7A1
Ku6XaB/SChZ6NeHOkHk9ObqDeenhgsK81HCmlxwR0ePsqUccJ+r8gthX+7bOCHUmb3X0scRtgp2P
0vZHOzcBGiZyy1oiBlYQqK1t7XgJ/c7c7GYjDQ7mUA+bGZMJwoGrKV4zzs0YkLTppU/IyHzJ/XJf
UyLNdks/hpzjOI9EyfgYBCl8+cRr9l44fhkwTCPMxvsaAVfdxQ66AZGjDiaWnKR6Zli3rcltdYPC
3TqTmr6lvfVg4Oq/EmPbXvpJvNwqdEzr0uvVrpwNex8Gg3dRkW+wjer2oUaSka6A2j0mH6ouLzt0
i5ssU9QnY1yRam+TEKAacWYhjjhgAtfCie/ti1Iu+Ks7U7GF6+fcTy42cFNd+1sjWLJVyo4F3Kmy
G7tONx5Vp4He9ZpDQBtWDMUOfb97zKHY30YljrKFLA6W0TZ7X58Qcq4wW4iC/uBkPLAW2OW5DSc8
c6smuCTE6bZPlAVptjDvsib1L8o57x5R4Bm4rZK5TrqZx78bqV2/dgNQ3Ca0rOWsg8u1T5Ou/Ew0
Skd516shYX1b2QNOJP4BhwNmsi46DE5eb5MRvth7zrxLy0wdRwjWL0amPk9GnZFX5+VqPTRNq10O
7JKk+ZHQhKXr92aYxZh4ZfWazT/aLDCy92EUd8ehcF6rOLK3Vodlm6hMCLNo7o4zY++XsDFxpgnL
dvpMRbylusbzy0vMYjNnZrbtatt90Fz+K3Z+7bkLRLQyEss7mO0k9yrO0cpZMyxd2K7jRdwb8O9h
5KWYALeu33DvOse8G8YsF1tI4s1MLU6mRXqXhAJoFZqZnR8grg3RK5t/tItTi6hKH888ovEKQOs4
xAOxjGS479zYYGNqEvcA8Xp8MrLW8jn2kIyskl4AmFUdHUhcb3FUKC+Tlvcikd34VLlYqCzujCFc
M2e7ZemWbR+b/DL1kp1r5eYjRECfJS5VaRtnCXJqnETxlUmCbxDEoouoVlfx0LWf4Bb256rxL92s
aNccXuG96i3zczC2brOCmRZ2Z1ldz8mn1sUC5ohtf9CdGcRKWwQzSK1zDGRfj6QrGlROEY1beB12
wUg1O5S0ISg2/OewztnUcX2CN832jbQYLxE4cZJchbRcnLWV24aJO7hhjnjtOmYvn30iDuqd1eO3
vfYT5Bg7bwwddV6bEGN30IkXsTEd1WFR3FhBs3V6atC4weWXSralEHH10GWd1FU+n5lime5maxQP
1KI5BNSRsjwwqM/+1vHfvEPCf1fk/4rovLXOaN99xk34gNFGnyA6PSl6SYUz7CHE4rvZgLHL6dNi
L337mYidpd7ZCv3GpiycnPwDBhbJ/uMLENYvUPXbFcD10T28p+G4U6h6jLEEWKwuOjhTQPBpWGgU
tg9EaF0J8NaIYjOs9olM4ui8q8Kl2FZui8120YkH2NHiClYxVeXHV/UvbgvEPJAuynbX/o0HiIVt
iBWVHR2IJKJInzj9txNSnoCKDGenDnBUbXq1UBwZQ1Q9f/zpJ3S9t3vCx4NM+i4l+G8IaTF7GeZB
C/dkzmmFUoG2nBOn9hXsYxXPjkEVDRH/IfNC4yh0+U1Yq52eD3ZdWde2Ow8ZQqKsi+ID4wdkmDVS
nB9t6NDDMBD505TtXzxEeE0C7kdgmQSenfImhwD1j0QddCgwamlWcJDRIsduhtCpwRq7XuOnWmxd
yKIvGITOd3UHVoGzMwhAOTV3qqj/MGAUGvP55wRE30KdH21LMt1hpHAM/4oJGUgPlp664dCkOpjD
NfA+7YCknvAjoA70sWgDUrCs9tUWHmbxA/1FMZZNvhcNR/K6bSvdg3FnP362b7kMpxfmQtwgDo9w
ROeU++ahC2xUU8cHqPpUqFFJ79UDgo+NN1EV4V19j2unbx9nSBzgCbJss7PBtoa73h4CHJ7g6D2Z
5ky3bL/VxQJm2N5AxLWNbHD1XRK11NxhqWt4jfUUgcmbbagQtCTzmqm/xEi+e31vShM1Tnf9olGA
Yq6mO5K9SBod0mW60XXcCzJm1tbS+hlJAl5FB/Tx7Tih8bw9J0+PqSANASEyFPj1OcXCqBMkN8Ze
xg57oFWSgHDmMzNlzUxcPRt/cDFbOG/dF9YCeDKpmMuak365nwKMg+4jicXY2llg+KS5zf/lZvFf
UnznaPsGD0mr0g+70XavhBhHyaHEx5q0Oa8aom2E4O+wzIpPZ6wHeONmBNTi5CnV69uX/S8S/Qck
mtmKz/v375HoY/GavPwKQf/8Nz8haHBmRkZ6rKgNev4exkLOvOkHQQA7CXLfu5n0P8JYxF+eE3hs
SJo9ruHpfyLQ3l8ef6D/WQAMDS/wP0GgbftXMhp8cSBQrsIFysaS4TcSb2+1cbIA5R1DYOSNrPP8
xUkJ8Fv1iYn1YbwMmHvN7UxMH6KQEWtAovZceNeXixva01oImB6hmQyvXi/U9UL4+ZfATOdyFSHT
IJ+4N8guKcNup3Cp+qIcsDHTFdZ1k4xuR3xfIy8XkRMDyAKG4N8GubtPXP/ea7L8jnd+uDaHF1U2
CI7bOHvqBhPLqyzBP2gZckLKMnqjlxYv3QlnY2MGFQFoDTdTUEh09bhvZBy7dfY1NjJSM2Sj2CVm
auctIabJEQB+AomDzXgZzVModwygF3vjNJaPoWTpexJ3TSL+VqmPW1wdENZF9x3GFzL1Bh8bPi/x
VkaRu3KNqX/5rWqr6rkk+PCqx2sapDdviQZvx2++GopnUtycXPe98zmig/p2rtLohRxPCwaxhXso
jezQK1LLqQvXU+KPSIyn8sZB1RvgfzdhV4aE2NsTl5xd+RJtsJ3LZadN5ue2POI62QOhZf16KHoi
Km2sD6zEuxF1S8eXSvWNuAjcHibl3+CLUx3R13T3OPi2m6RtkRaNs8SGuBL4hhlZceZ04GbpvPTn
Pgzb8Li0oj4b0IjDf40coqYSp/YufFNZmOMbM9nHqurvextxeNqLcVn12SA+J14Wfu4MDLCr0am3
eIwbF+NCIDe7v4sOZLbX4xQuF0sk+k8YD1RYPAaquRghN5/Hvj/8CJpggc0CFTJjym3H14Nd5NsK
s7WUky+oEbkJb7jMjakRWCH22Uut89KBeGtnH6F4UysrHdsvKelgxKVjtFfhUiWjG5xMC4Ft3pzc
xVUmP1mRSm6DxeHToAU294Lc8F1fx/a5sJDureK+jA+G7AiNn8tqY3VDfcAQHLo74+y1C0b9bBRR
cyZNFXwfm9FrUNkrpuyCmifZAikHdwHJ0HDQOpRin9NIujcxznLafAeZHrEgS/bNRmiEqB1zuG1k
LgrX9A6VryJdjOeYPeJmEd94U9petmKOz7wGUGIryrG+wPcK+293jtSG5Vo+YJtgEoeA6n5j1Py5
KOFxgnH1ODmWqrpKC69MkJYq3vLPQH6pna5y3EewpM0mC34fue6Jyf+UBPnAlZyCYU7dOy3IN/OL
wjQntLlWi5LzoMZ+JHR9McO7eRzkfBY7cXqoR/dGYLcJAdBb1lIm0WpGgXY/EeI3bNupz59J6p5X
IkcxufF6O2jXWWWV6wKF530Pa61azYkgqwHlzDrG6fTKrtR00TluvKdLxzykbLErxb5gi+gy26J8
YCnyvtyF7cSEPhmG/HEKR6ku3L4z0xsPiUIebOwKH7F7e2lJbITigg3JlSVq4zD2zZONVOTWyPwg
20wNoU+yGc6GqHAvS1jipITgB5pjeLKvejXfEhBiIWSnfy99JyIup81vx0Y2d/lItovN5Asr0yDf
ekQ3b5jor1QIB0vU8ZUCb+sVCJ3ZJRdDeoavHz9JGjUi1BBJc2I9u2FMjjzurWlqrfqa7Dn0YS0/
xhjBHlv7KUZ2cAzbpqQ1VxMCNL+9Tkz7OeiraDMuEpx2HIxLgp/CQ6R367k3PxWiI0WL1oRordem
Hc6ZxeRI7cxzFCTkcDCEBBhv48dJklKVp+WTj8vjEUjoGwY1Od2EdUcRF2xCUooj2Vy7Y5redHXx
2aZKR1Z/7iWzuQMsvh+0PFBNHiIxE+t0c8yGjVWgHl31UwV4EYtsTcYTktKhrT0MMdxLvILbs0a2
510aYhET+MMegpO9Ee0M8wXuoclQJovPmsizE75etTzHE7BRACFl546kQ7OMzl2e9oUZNRaeBH1x
Z051uTdQHuxpDVlNc7lcoZlPQSxLwjwwjKlu63kO7uTSZDhgwJy5zYxpvCam6tUrYxOD4ghrTSgE
WwNYTWGMPJGdQKACXCGf5feAtCXaOMLBrWhyrO0CRWMTudF8lWPFs5oH0Tziw9ADP9ntlRUkt05j
1LwSAC8Nar4r1WRq3RDkcD/kYXhLRIm9snvyZJ3SnDeSx4Sf3rjJLPQ2+RS+xK1Z31pA2DfWFEzn
SdPKOzcJinskoTqszD0jqL5YQytl5zfMTziK1CvH4D9xOuFE7XKlVuZ9G6ehvfOJQlwv/TTvSNkO
dv3o5T9oVYsr4gLbfukvxs4mLrLpW/uKPca4SLvEs3ASUvWdQz7vpkbKeg5PQq4dKBN7tHXxNzvP
ebcA3/B2yvo7FmF+hVA/J8QsdIhOc71twhh7A/v/xrNbjKWttDmqRcqbHCexjdHP1bUzii/O0Ljb
WhjZPR09gH3nQffBA2bXjlYmWBkx4BZ1gbumUy92c2I15BdKdy/wej43BjdAmTzOh8JPpqPbcURi
AuIejRwC1ua/dfL/jzMmToS0P/++TIYAUHz/1iXYAf/dHvP9n/2DrEHRSx2M3RYkDgkfgsL7J1nD
k38hhKLspVKmqf27P6Zt/WVSxSJVobjWeSlcxz9c582/KJFdim8H6w6LgdJ/VipTdP/SmFPsaZSA
cYbwoLyfsk8da8a9DxuGA2wH8unjJN/GqI/RInafZzf76sOiXVUlocVFP5FPnbrtaiKB/MwXWcUk
y3/wBz87w+gjIyQ9v2CQBKJpuFdW3RBFbnL+eymBEnNvE+HQF8vOlmSP1hE0fgZLwa5iRsubS/Y1
pL3b6v/YO7PtuJEri/5K/wBqBWbgsRPImZlMUiRF6gWLpETM8xAAvr43KMstscol+929epXLFqkc
EAjEvfecfaAW+WSgQDsgo3yt1lThBI22KwW7tJegiPaEqIUPA++RhvJdT39wVTPY8CwzebGUSoAw
4sdTdR48IloaWgnNo4oOBXvWoK+INlfWeWA/4Hy4TXT1ZWh4eTzMj1kZv6H41RmX2rGHRZA5Fip+
rViGFtXYrUVTP1qQ2eDY2KQgK3y8IkRxPOaF8AfF3jeNs6cP1q3h5lYenal12OW4H5L0DZMRYHKL
rxK7d+uLmr80G/gKjDS85yPwNQhnn3Ng9ZksUfEL3gMOAWUdBUjAOTaVu8Roqk2ZhZlv1RZ/mho3
Cz16vfxmYgTOKnb7ZDVrBJSFE19BlendmlPWTGc/u3GnbCDvj5fMMIgeTaPm7UtdW/fQltD8W6mP
5us+bV1iAsFd+W5ZvE0FCbi1Tui7GUwpgZYTqR9oxl6DTFH5Htw7TDAds9kMGg38M/Jm4BEZnUNS
rRg0r0nc9i5wgvSqdq3AYxDIuX4WBLg7fHt6y4tK0947qgJmnkVCBiGJsUbdMsZkHRDhSMA78dGN
cO+kow4eW+Pg5cK8GWLeVJikxl5XGAapCSFwZZiPB9tl4jZUyyrq+FmijYgwV0nqKFttbQ+Iga3A
GvmaWFh9RlmSm+aZ9fyGAV9HYMNbz2T8QhuLaz/z35Ll+T+oSuHLzmHXh73g5TnfUqtWwOg4A50E
R1gGzc3j+/XOQweJKKNyr5N8XrhAjNdcHnol4Wmrnt477eTwjZucVU3INwYIVqdjs1TK5V4g+2S6
zyL+K3iFF5KQuf70YlcDuQbnnq8LPecd9UvH0Zv7hPooOPD0nk+Rzd2BpujRBo0KIIwr7PQsJiY8
5/cvo6i4KaTCjyJneclLSUK2sOsDcEJzbQQs2ixtg8NUuOpt3iaVh1AwoVEzwbOF77GBiKStiZAX
fo7Ex0cmxHsIo/botMq4DS2KaAJKkRh1s7ZObW5KpCJQ0kF6Fz3ndb3gD0dZpCdH40aloBC+M0QZ
hPIwWwvuE5EN8c0Qmef320uHpYTcqdfWo0HwUU/U0KrsE8Ip4Tj4BliDQxiJYjsKPV1DTuE2TJH5
vl9bVL4LRKC4shjdsYWwBAqKKw9JBF6xZZXPdjpvAGm42zY0SA8EWLLBY5T5UIsq730BLCucW/yG
bMsCOQQr1B24v43ZpThYLnPXy4VrxTJCaNQhJlODZ8CgzOfo3Hl49nG+9CqJmC4R4AiLX+KJfyG8
7S2kVkPHw90joNp6ud65nlaowUE0fXHFwGk8m6O5dWTyAstpyZKUxRWxiumaSTdKzVkou9DkPmX8
oV4RielumPIkK3JbiyuldXl1CF7svTkEMjYHdSa3cDS2mMZbzo8jf5kqB89odcuzkRn5AEXaVc1w
cS8tzGB2QQd2jHOxE8zi1wqQZM8OVTY3hG7+O+0m6LWbiIYOWIiCdIKOzYQ59eARhoeldOAtyJ58
DW6RckdOJ/+wM/373qS5o7Z+v2mH2CK8PFTu+Luji9mwJBrTuNGmZNpC6QWu3pXLY0eymOqx2hDx
zPUrM5jttSiuRssYz72dvrmGyVczcQe8f9e0hlI/pRK59CrX1ShIjoLuT81II3EF0BQKTKYEF02l
hMFon22doH6rbf7nvCe6NTArnCbsJ4aSxRu1aV7xOplIzslvKmv7gblYuU6V6KLI/mwvliCK4fAw
xSOdGCWjI4FsaBJrrJ1UOMDjrYVBPH9JzSwfVhYnAmvtUvcwOZib5EVLytFX4VKaEGi0O5NcVR+z
apWcJkbuBxgwXEJdUOBQ5KhkTySC0KKojLsLg0yM8JAms9DeAE0hEGxKO4JEJ7dp17MRVUgn6lo5
VEH/rHRl+bV1h1cjFmW/CvUxfXNqXYFfDfRjbrGRjYgSiqbcuHkKZAyCao14Kmm45xODvIWQR5Gv
qU5wAhE0K5tMZ1p2Ju7TsQlrMtp8B/ypUx5RdQ5e1IdDdhVE6NUIF+Ro6tUUPPHZHGCbrtFCBspt
0XN8AIB299NR7N+YpHGuwWyBlQnRuuXgqvq1kZ25ijYbZQPMP56mLWaDN5CdDluQcwduD15jx11n
xL9lO/yqHOfQtryuARKRxiNuevHBB+tOhgaKqep3qnzf7LgH9Tj9WpB3Qdpo+vb3n/Kj1Pb91VAI
WRo0YvEn4PMsQ8UgaK7fZRMLZDkJuGQzr0OlFf8tAr79O0UAcui/VW3/b5OygT63P1cA33/nR6/c
/YP5kiUsWkwIot/Dpf5RAbjGH1w6Rk8ahAeA5y6H8x+hjMi1+RVGMe4/W+z/L9cmPpGfZlX/ozj4
D3KnoHL/WgFQifL/+F1tVcUUbX5059Qgn4xK6429mTmoC01lODdFN2znIBoPWVibO+SucJ5KKaev
DOvsKzM1logdVZW3ZdkL3AaV8pzZmTilTJgATAX6nUWsG7tSZRV+2Br2OcooyadkiO/ogmXbFPrV
Pg8t9UtZBQ44fDs5AOVcd1Nbv0A2QDyO2DGmhQzvi357Nb+KKlW8OOCY4QU8bT8h/0oPbpEVx8DW
sy2SHprAXXEqTY2CIgtyX0ny6KAOrURSnCPZRkRMio0S2gea0kxwg2y8RgabbRGHMtVqQw5LtjVq
N5Cv3DOEUnFSp1ic8K0pA9AtHT0B4r+tWmrho+rGLiPx9KKOVn8KNPVuFhOmdQuIYFEbLvEsWJXf
cHkhgMkXEQK50hyJcfxfyK6mfZqg4cURSKu+Iadva2ai+iolL6I3OsTemOEnx6b0HumWVa9GBspb
GmLJzm27zpeGRNdsTyomXq3/XDpxcN31NPm6Mp5fAaFNj0XT6zdhCmtbR9pytlDt3qDZjz0c7PGm
Dgg8FqNVv+R6P/pQa+1NNWTD1lZTPgZ6WoqTItsNhaQpkhr9V8XVV3FjAtF1q6NWhHsUgCMgBUCP
KSJKvzWDU55W+V5xlD3pNqkf1uX82RiaelvXg/kWupzdWtosx84i4sRCxrHX8ii/AHSZyVYkC+QA
AYQNTMf/e6ygmz6EU+w+2bWVk5JiVYegsuSnapD1nRsY8WnGF3ySrQCU2jd6/DnoDEJtepF9Mkqj
2ubU2MwYaDIiZ8hsMgMyXb+ZmW+cQqazGzB/WUaOuoPxNK5omhVd7TA20IcrC17TxaUhd6AopHZJ
ZiN7JZ6lOgeWle2YqOtHC1LKNq+s+Kl37PixriIVDlxl3uSAOXcj8VBnEF36UZNmuWvIm7/ujLK9
S+hhUjW22T5XenLRA1J33cJ0KJkr7YnDNw1DTqT7GD/+jva+QbsxbTPskJF5nVXyqEXSYDkyJ1U4
P2J7655h1ZD4Po2putaqwH6udfkNCXC+D5FwkR8HnaaEPLvBSE6FZRfag26krxzPq5DTl6E92U5x
Vw76/NC21bSdRSFuyoh07mUwpBxMHijIg3RHIPvBNE0VYdXPbdDQfOYkm61IjCCWOnCiLSlLFKBz
nN07MenXA/XZWsAxOSYhF1HSL99bPWFLQCzzT7bedi/4wYZm1aXoiMtiT36idaDxv4X9BEGOrGQO
rlmS3uCyyG7NINtZk+wOFtKTvZHmpd9WPa1XNssnTooxAeA5cvqYxDEm5tSyBdqqqiUBZKZf6ukp
vs85mlDGVWb6aHMSvqdsUm4qLS89Lqgt4OjSDcfzVV2UZtzIzKqPdQPFC13mxuySfBu0UpwAV2Xb
OrsZgmB4VBZ8SWrp6k0iQn2Hm0S0XiYxYRViaF71buKdACOWYrS3pSrH9ZCpPdW9rTuPnQ2al4f3
nOFusKcS4fwUXs9tmW6VsZtJ9JxMm4bqaLmeA0xiFQbTmk5KS4Bt2S+lujvch4ycGHSkWKYzklnZ
5rDtrtyqEUeyV6sTYlQS1VTGM8irnVUYksUZZy459IvOzgXg71Gyfk4dKfaZaMUannnNhCktyQOK
5iMCHPfGzB1r37YIHFczlLSbeBle2XbhQYprn63EHhFnm85FtFZOukSui/PgLIFzBJzD3XQyaw2P
z31weWqcOZpGnxvHiK+QoX9x587a8UScvSlphzMlWcxSkslVm1gFzW3Fvcp7o7nQQa9PiZD1gxLE
2Zlk2mpdojHfqG6JyA/Xw9psa/1zKnNtZ3V8ShSF5SYaE+3bbIf9SZpu9Wyg/uXh0s/GI0Ou+B6W
64COP07RoyVuuO3BWEM2DqWnqEF0UVUMupISYzWg//wker76IjJnf5q6ipGP5hwdgxxgLOpldE3Q
hmShoS10laXQqEQPUTTU+20Rj91CMq7usz7Yxhz4KX2D+ZIOurFG8yKYDDFmRZ2tFMbKJEbeqsvh
rA6hdnChEXyRtUbLhKMnHQket4wqx2NLc3pnq/DZmP817lNqWbGfF1I8Et4V7NiZSKboNH/CSnaZ
+0R5ZXAlDlXnKBto3+01AS/Z3jSUYGMZYXuTTdK5DyXZMyqdtk8R0zJeDmWTN02KtdEjuzk3U/1S
tPP0Kuae7R99yExDazTIAUTljwjZoZfSKkezEBre8KJBHYyTSpo5atSCdDF2tFjcwGFbonCSJKSR
x0GECWudTV6hu91NHdbZrsQNEXNuttG7zG2D99QOnJrZaZXuhyzCM0Ew1VWs5evJKfLLQOb9rjP7
J7NB88xeS8PFQWLyknbWE2T6ZxH0b2B3n5xyvC0o/TxllpToep3vm8Ke1k0d32n0Jg9VZNt3dFy0
B0rP4lV3rfEziMMnZ8A8wlLHMtKkB0w7segPZH/VQ7clz7meLQTFxAZadJhSYa5jEO7GeuHUXI00
g/1ejr1zqbt6IhPBCt56GgLOLsPH4D4pU6SBsR5o0gSl2GKXqWYUpRXSTej65VPFBsrZa2Gej0G6
qema5AdHQQ+4oFJ8DnnpUQ2n4tA3sf1kTmb9Bc95mFwC0ApHO0Ixedcz6w+22ZxmSMPHVs6Ir8LO
TL46DJyUexO0qblWo4HGUqnEaQnrMdb9QhHUUHQEN4PVfm5tsuyakUakIHl61YXG51HR5I7K3MYE
0vVMRIpx4y6S/B7TRtwYV72roSYUSmmu0pCnjGIPyo6zyH0x0/+JMCYfeIIon3BlhVdohVQPRe50
Jkm5PjdczcPckRUcxfLZSN3p0Cyy5tZQ+q1ajCiZ++W4paMpXSEJaY4xGogANrU1+QMqDXjhpI8Q
4QToFpkaQH0DMXbU+kmthPvZCLt9HwTBocEgduhEeEUxnSHUVyumzxYyhNCuv/S6hU54NKdtXA/x
BgC+S7AoVoAmzgh7C4yK5lSESqADm+sxVHR2vSDmrcu0fGuKQLzh8+IYXZEcM8bkjOvqV7p/lvO5
FT3u4dfesOvUvA9qYwFPwPOK82z130nOv1PEmeBGfiqs/efu+X++V3/n5xzTrvec0dxvivj55zLu
+2/9o4xTVeMP3LPYK97hgJRf/xzkqJrxh7HwgjDeohJVDQrGH5onBjmqDaBJUJ/DIF/S0X6Ucdof
gGUIJ3AEMHiGRP/RIEflNX6e4wgUjIArYUHRc9CxES2dgp+gjDzoyqru+/FMUx9ZrCQ5ZVWi50m9
1JbDjaWY0yEZ2R/XAiEqRyVjuE8NxCSr1i3qzz99e3/RfFE/CLCWdwPmDGYOCjHO2Nbybn96NwBK
iGuIejzodYEHNaUkXPV2SXznOHBKWw3S6J9sEovjVZM7iAvrpEETGMytbXgkJRdf3a4T1/wdUe9r
WabeM7dxiOC0zOAbaT7quPn7d/yua/5JB/r+joGeoD6DmSYgsnx4x4trH2NVd9ahoIS+BT39Huem
Q44ERzIe/NOoJn7M44fGMRSAFXYA9P5Dg8m0Gcru6zKwV71YqUy/7WKk6x2O0WFlN2aKqBFw2QUn
7yFvXfadRQv3wOz6iBMIbxsSL+sUN9GQ/0bN/efLAPVOMDdjXKUyflyGfz9dBntSQqlUWXsuOoyy
Zch4kqJucYZWTPMulNbupypQs8e//zI/dKUWxTHnjUV9zFrkH8vb+ullTTGGRtWGxblwcHqpadSf
C+i7sRNED3//Stw+v6z65ZVokIjFDK+6tvNhnVUF0oe6icozcZbGc/0uGA46Z8KsUEVrUfcoVHUx
MRRIdEJrf7dofgWbEKAEMlbA6USRYlnsDh9e3rYXGXyRx+dl537Oyeh4TrNFtGzOebvGdIEfRXDp
tzKr36vo0v7WZW67l/QJ6V3rZEPpYG9SD5J6fo/lWtP9yJmmb5UyVL5Q5txGN1YamK51YBjfHwf/
klf3IeLr/f3TPNRUNDq0oOg1/XqhhNWbhWkGykntg/yZlJUWF7qSdhw+6VsU4UGSyPASOm51Nc51
RCKEMcYeZ2X7rbPnucQ0G0KJgAD/LW50++sAC9r+DR8JkODHi4zElEVEA429dSEa/vourYZCsok6
/ZQgpw9cx+9QLG7HbtTdTTeQV4CrRtwQWG32BDVFlEpqsW21ptpmNLa8NKvz2yqD6U7LX4afZZKX
+4keCglBdXUP3B9cIeQfEOf0rFYxsciovpK2OMtKaa8RruvrMFRd+vpzgExZG6J8Z1pddqsl4YXz
FpLMrLfrcxfUd51GxJ1vDcxJ1XjS2BuMfkb7L53kKotMrCyiNw4RYnSkgQQOoSGKjNxb1Hq0TRr0
RHKC8akS8OLPyYj0su4+9UIhalbmnb0J2rqn76Jpd3WEDX8b2AoGJKqV4IVhUjOsYtQ7X/rcxgla
tdqeeKRqr9Zu9jUeKghrlZ6nn2LcjvZqqI3w0ARN73FSrLa4UdzrWuYjismm3qjqqDIwpmuIp1GG
Tu3hKA/WOWhRv6/ca7oChJZjPux2PGo06eG1XJCMdvY45iI6ajDZP5l6Z257N1E05jb5/OxYJRAF
MTIkZlIXbpRxFM8ko8m3Nqwqk8ldJ+iehdoQbsYuoVyXUq6ncOidTVMGkZ91er4r+FEUkQaJtdaQ
D7BW6BcS6xKQHg7MbiRYqssCRpZKkW8bBj+hwSjmRuqqQW+nERkITKPuNlih3JaCxR6vrHSes+Cm
l7j9AZLHDJKaryhicas9tVIZ7XzxSrGVl68aKTOdjrep6/tKnLu0Y1BycON63g4uSUr7/J2nkGhZ
+UnYir5PJh0fUc81QDJVk4rI5cod7A0E/kZel6WyXlupDIUHkV0NrplrWXa5S3GyRRgXM7eDTsRw
Dcl8QKUrmf2ZysZSoiS4pm7ULYDjdHVYcHra5psiixsXUBEPr2A9Ml7zlAB6jIn5VhSGB2KLTiiu
LWzYkp4t4mQSq9LNEnU+e85ssmMWGu0+L4+IklgNLROoSxsrOekMYey8Kf3AdNIXpdZtY8PpnbOp
MJc6FLrdEXqATaCt52nX4qRvonUFUSxHEDHgXWIeVcQbLDT5hFuuZWiK+gRvh82hOts2cR0TjWEZ
2mfwYlgtQKmmi/o/F8o1GAmFMThGw88Jw/cc/aLbMTeOOuuWSbiubxLSV9RjJKMWcQYZxFG3RUlR
FZ94GOuHJKQc2/QV72Bddigg1o46Arknp6CSp9yZWNoKt0rjByq5AQ3im8wPAz3sl0EonuXYbhdP
xpzo8zfA3S79K94A6scpj+q9itd/F6IJtlAoMNj14zIO/LkPUhO7WlO5lySQieHpcY1AMgdoqRxF
kBkbtQpCk7fr2tUa3etc7qOYVNV16hqRXC0/t1r6zAXLJ9RrZuex8o6kViAnQ7lQ0IKSeHhmuBvT
J3IGQ9HvIFFo/dmqXLrRhVt3J7MveCSFrZ3yC26u820FJKgWT4jXcHfUTL7HDcnsc3xUiUS7MxLN
fDbHAF+SgwQD+Xgx0qomtBNPRt5jUfQz8gxaDx48JPu4fsqk5GSRhMnwqTUt+VI1kb4bbIll3klx
dcHGDPh7zKwEHPFOWJnHSjdusLSod2qn8BOSstqhlz3hgSd0Mol3zahpdO5tBvDX7wiIQtTL4kyS
ut3aWRu1l3FCa+KJeuGRRLLgjZUtm+6RJxj0B0ewunN2ycZ3VHcs95RsgXZJmj5NbzWHaeV+NCDT
nrqxWw6f9GsvZoozCQVmzkuX5YyTDWRhN29FikN6lTfAYST7E++ryvG6mQWfoq9pOa6W3DNyH1OU
yMAmaAzcFI3NLd+g+H0O+TP2VOCE0XWtGtOSbFBFgssN57k/5QgF2hWthHrcoPAV+noaam3ZNLiZ
PD4RG8joqss5GbzhQwDI5+AMceygHTExuI6kYj1/d5KN2Gpu9W4USPQ55ibHsirS5JPD02LbFkI9
125YP+HrYKQQGVGsHUoHg+8RhkuIT7qxa8kBd9K3lcbXShFcT69plpoXLGQCMZDAy/ZZWnnY7vJA
yd+QVi57COVqhOFcdegq4uBvN5WVu58VEeSbXFYhY3WDbW5qoEzEJSnlTJcT0ze1RgvZ9gDQrgCN
Q01I8O+tM63gNpmJgHD3Btb/+lvOhjwhOWNJreWyY68TU+EbHWmWrHnIyPqoNr1GuIabdQNPWh1h
u93UyZfGhRumTBzTD7PbNerXri3w3OaLuH4fS2RA6zFXo9mDWGKF+4rLQtMvdS3wZ8PQncbJzj4l
KHlXjt3uYCAOzMOkxcVJhdoimCZEojwV1mhcKZ1AFBDVRT4cQyJ+CEI02zy64yTSfhXuAndk62wH
kotbCcRFDk7NU2CqPzFlU+NHjJe6A5CDE9h0j5wCe2NE5GJDl1hJw4MSVPIlCpkoeJmNdGoPrk+9
oWsTzNumr0GgfkeyoHdO9MtIh8c851bFgKNGDmWdDDVaxNKcbto1IhiumnQKZnTNbOcLCqcFfjnq
ZOsNmeY029mpWf2pMWKXmIKJfjZ9Dav+LM0FoIFXhpiJJnYfWOt5eynwHLDBapWbbJwcYs1q7J80
em+OCnJ8sO9NrQA9I0EkGycjWFJr66DFdjuFrOg1NESuJoUDlrBY79Lyym4qKCcamnwYUWPpzqhX
RiU8pY1SSR9EMXsGp7G+O2WM+igjMeZs2shB6QyKWuwnMsAawhktouiNILL/mxb/b43DqSSXAfG/
FsXeRuXXb/+zb7Pn4uvPzZR//OL/y2JVKidqUsbfvw7FyYaH/0f3YJHEAmr/pZei0Yahm6LSXbA0
/uiHKFb9Q6UzwylGV/mf/4Nx+HeBxk+NALxxtGPEwqYlGRNt7gfhSN2EfZO7brmDy4oKdYoIbUTb
FQOtcPH7a+ajzIfFl1OBLOjRjYamshfSPmtlDzeVviLOkNbIb1ziNS9ZLx7MAA47ckyw+6UhHc4F
nAobwAWeMSnElU6wyZzWPleLh0Ab1UsySmK39PxkyeykKxJ+ThX4HdZdsC25iXKUALqhid960cfn
nO/RWyJ5VsQ31PRYnRnbPPzLWMzH0hUXS22RmjXyuRzluDJTbjqDAVjTxW8tgzU/J6x7bZfO2dbH
rcSFCUiqeHPT4iRxAdEQjlZG3G8A7pwItb8YyXQUIT/FZs10MH6eqq70y3p+Nbv0kA3qa2lbj/XU
IlbFnN3kkf6ZpuYubhws64K2KWfQGTOWc1Y7/TEdsmcbM/5GhPJWNOlp+Qa6nLGWkWZvSbXgksIu
2egZ5xmgMMz6QqqhQQ53oS5vnWJktK6xdRPi8yqD1N2yz4F+n45LGN1+XphnimT/FmQlGWZ8IL0e
0W463lnRdCsrJkA6OsIxe+Zx8Yya7mxHekPIooF3jA+0QGjLbroYGddq0rtN7VaALYz3VHpi50j+
WJEZBAWk5IvSIlILAxPGMKLraM1AqWOYQ5BMV8UonuCdr4wof+5VksrEBKCjI5vKW16rMvgBhVQn
xtmXTpNbWvVH1QEyRcrTkVBLBclv9KYTQrQ21fiUpuNR4+LsnNKFoB7zCUtjepgDMgvIA8z82NUV
P215oSF2Ej9yjfmKrLVDOZGEbNScWMzxDi2tP04F5VtE+l1Q4gvF0MwTeHx1yvlIHUugbNTE57SG
vTqKF9Ri166M0ZRJdTNp3W42QRzVI/lmKEVi6AUsVH0X5lwjRRBZk3YMgPp+PlrlRFaM5Hq6uqof
EKq6a+KuO0SHaF0Z0T6gQH91dQlBZsl468LswEP6rm76O2PM3nIMmJ6wSlJy8/FOD9RolcYdRHut
hL5FPYRtM0b5sXzvpOid0eM8lnWRMNUyzxVHjA12yjudzwnlzWYp6hY2vmbawZjDYKmO50pTqi9J
oCBFT6DQNkow3OjQ5LBGhQHyQ8P00HYNu9qehkNdmsOeVGdnPw6Kcp1GU7au5yq/LpRq2gj0LgdK
g9bTlEx/7dT2y4Tj40p1MOGzasq4NnxsORXhYyhVfbSo8jmwS0weYaXhFqVCLR4A7T/k37WDBpLO
FfMJj3n82SjSLw16VC8dsS5FFgBlPfarbmrWtTFGdB0sooJ5YjbhwXnnldOeyFArFotsUSrGQ7kI
GYH5mOuB4+lYTM1rUTA+KZQkWjPx5rQzofufOQflcU4PdiqDi9qZJIYho0XTrr2WalkBQYC2HQ0k
5o4akXh2yXVbgjv7mWVYB6rwR6wH14awe1LQWHRTaj8u9oCe4+U+GJo36qOjYaW/6RpZv/aM2MVp
err4J7j1bZoUy5//1IKME8voiTQpd2gW05Xe1x1UsPHMwPQ0B+rvEpE+NDzfX83lgUbAEY1+x/rQ
PHYN2ZOMbhc78h4outT0oGULjFpnQ//pYfoXnfUPvbDllch9cHB+4NVYzNS/fi5p26OeBAhqtS59
dgN2w2U7TlSJKqfF+LXn38Rv2pxLF/DXJyKvCboZOSVocP7z19cM9YL0JYxTu6kzI6brRCcS1+Ep
pANJBevv8nnhKB6blt3t7z+u/pEb8f55sbtgGkdWQpv319cGFCDnhNnurs0b3U9KTL7EYZMF3uLs
K4lYpJ/yKlG9blI5DAcO6ty3uKQRcRAXYoHzLuYjKlSeurq5c+F6ehDg15ojj9LqKXAtbYm9ZK2W
Caf4BkzbcDvm4YMwI5oPo3Em+Zsw7ZKgX9Msq6eQ4Chyddke/v6T/sUS0g2o3BAoVPFnCryWxW5e
akaxi7R2Y5TiItwZoGFT/+YbBeb656tp0PHlaOUYLKUP36grUQrwh6xVF2hqCzZxUmFQUStjCLFc
EoIdIqBCNb/JhumCNDy/iRYkqTGHb/XAvrwcVUgeIqJYG48oTREvyf5Oca2z3gzbyGG7N6s498Iw
smC1aONjSJ9nm4dahc0SfnIvmva2SMeHseGx32uxcehih3LEIiwYQttbAO1/VaDVYsrslNtRIVeS
EEIn7DckBPHwrvQd1JUdwDjsEjlWROCqpECAnND6+YKcZnFy8He7Do0Sk5QkW+WM9fcX7C92GDwA
zKLgLuPj+hgOMdtKWdNuKagGgeZxnBjZ2cxKs+j46Lu/f61lTvPxDmTwSGvcYd7BvOHXu6DRphi4
1VSA4RpuyTs45OXvNsz3O+nDayyzAGAK/JNp/IfXiCOSYzIhil3pDsjs41HzjGB+XXb6eAbcT3r3
IdWMHcLqMzmA0dousoMyBp9pvr441lCsNKZhKydLaP0kPMQjl92pmvKTittltqS+toM43WUMMlbk
DIPAg9Z6lcXWenCqe8J8lqBdB1XhFE9eBqERA7zeebULrp0+AQFZLuGkeGy7ldDiN7NgCQLVPg1j
ekjNkNBRK+GAqlJ6ggHwiiLCJCW627LQorWhz78JB3mfqH78wr5z09mHDeNjulKhVd1I+HmxUzMK
BYYCpMd2SNE04GQnNeIbQCyZ+NnknHPTwpdA65niPr/uEtZykEKzs8CZy2BG2QB1yQfB9SiTSvcR
lsOGGaxzAB3S6wPzHEHshN/ATlQBqPHtZHoQmnydW0FnMv4ElYZTVc0HbjDipJF4mDiIrSo681s9
k1u3krehafWrpGF9GhUbX2sRvYI+KSEqnfRLzZwfEIsNv0lE+oubhGfG8n+qzpxucT/+/BiWYQ0S
XQ4Fhq/C54jDCEbydgy6/EEV/uaKqB+H4MvTkYEcPW8T4rLzp3uyNvSJIWhf7BqNRi+2wdJ3guQQ
8KRyVa7PXLIkZwYsq2GRJSUJJ8Awg13GAbAvA8ANBUlScT5gVbfmHN0hUHfigV/aVL1SBuc6IwqZ
5jmn/bEgYEmv2lccb7djNh1zMOrIIOdjqKfPgVxOqXhWklmc6p5QgRE3FMfV9UD43abjkr6Xl7Mx
0iw2+UEXOZGldPxGJYcNXg0SNQj23Y/Qc9+LIISMJRY06NFFL+/ijkLSWbzXc02pZ87yrulCyHeG
i0xzuMModwHEiqiG05pq9z44BtJ2+Rcl538JhmVBVv2wUQ1cIstt1I7mubTlHdmGFBD0QbmfKsXL
ak5LIkhOY82czK746YYwJzAFS6hPUF+55vjaLIJk6HAQf+JTrFOzuCNHcRhYj0k03ErGp55emmiJ
84MCFmAmiHjVwBJddV12oCje5gFPljgcWJjcHZakraOaX+iTFYdUNc9DO/i61hBRS2E0zk28lXVT
Irozz1lnPGpN/LvnsfUXD2TOOmhACKBiRX2E62c0yhDGm/mutafXoh1uW8Fzb2kEBia39XL+ei+1
y84l/drlpPd+zxeERMEekas64dfqXPdpRidrl/xrByyMzQgrBBtL+3ntjiRaZosHaIjTvF4heVzX
Be5KiN3uCWNa5M8hz8VujoA+sTV5s62fNYU9Jummh0HnuCUaHaufiOkPh126yhxO1iGFIc/DSC+5
ICHHbDvp7zrGd6tGAwjI4MJz++zE5PTWMIEelwjX1nGT6n4t52MeSYjeueMTQgqCqZxerXYmeh2W
oE11sEtj6zzwEKHI7O90a7wsp/nO/vF8/S+d6Td0JrpPyAj+dYPN/5Y9y+fm28/Nte+/86O3Zv4h
QIqzYg3qnu++8h+WcxM3uo15fFEpfe+g/fCbuH/glUKB6OI4YMCw7NQ/hErOH4aBN0RYlqnBBBT/
UTwASbcfDjPLDYV/xRAgmhY7zIcSJk0w4aqzW+8Ay0aPwHqKyrcqncSecUaDPdpN/n/sndd23EiW
tZ8IvWAC7jaBtDRJJo0o3mBJJRIeARdwTz8fNNXzqyj90uq5npta1dVSIhMmcOKcvb/d7+pmviuk
CVSmSHDxonEJEDCT2zKkFSZnazFeolQxla0qhm50wse3qXe01U6aITfGP1HEPSgcTWMAU7wKrcX7
pQh2qQAXkWOnx9t28p15w0lMDxEm4Iesx2E5Ibi+LTIbtaFHfXJwacCLNR+zPVG353hQcZNCGiWd
PqE2ZxDYXkEwIhGshCWhTXa2H/ly5oYWUn10FwBDEET7SwVG+4Rj5RWgrfaSFiWGx6biXdxMFRNy
M2ZSije79rr6vEy40sqpu4ep9M3Wcn5kxC8lnuBemPA6fVAh4WxbGhO3qt9Dwn+vMT/QUPJpxFU6
Xn0K8GVnNnRHmoWjJ4N571jTWiz0Nz15Nhtl4mo1vMdoUDdG5Fe0RKqHsVmM6wnXITryCvyvB5HT
9EqoruW18OoXcn/NYDH66YT09BVH93GVJ29WTwX7gdfGXv0zUj5MmbZ8zgv8uDUpcfBba7VTDI4C
0qsDbsHHyYKg7KIXyCNoqoNqNo7NR/sNCFV3cfUz2QAa2o5cPsSws54l9IBnhhOYcFerecNkdses
acKvQQBeopfvLFF3FNDLIYJXuoJ1vkiB3LWmXUOiFgOzwKoLBh5mfYfk6hB5C7Mzu2/OM7npLyL3
Hp0ulXvoh+keKgsS0Ch3twu5Kwe/cbxtW3hPxVJr0Fqs8SkWUXwSJV4oPLFdeW/6kfpL04mnCdxG
t+57tv+3ZYpEA7F2MuGGT5plWyTVg0WfaUtCZcu0TFoXEF/+rvOiiml3wvSKJ4dW3pCGCWGtwVBO
jb+HMo3aOa4NA0cqCLLMsL1N7w2OBO8zqStSLnvKSN7KTwzZ0itROvqr4IeH3dzjLIbClYY251Lu
DA+9By6pWb8a58bujxK5/obXWT+/a5W9aHsPzVL0PvvueFOYLT0MuMOr5ThF8YDDFE1/Zjx8X77+
b6H/w0K/uu5YZf//K/0OqVj67cuPC/3ff+fvld7T/8VHAK1EdipYu1f92d8rvef+C72fs8bsmQRa
fkf0/XupN/5FPoxPCjFfQCeLj53e30s9QlbbZCTjfQ+AMzFJ/yezlI+9Kmh+Nso4gzRN/lX/WPyv
kbCLV0t1ME2FohlvCsoTYVLMCGWBznTttrrOHZVWoZ/QofnhXP2iU/ahfkNVQO8PEKDJ9hxX20eU
btMQijAsU78flTls3bl0tkZqFpif0vIP2/NfHoqUcl5DDI2wG/9zl9Na2WAYhNLtWXLIgDDZglod
RhT6ac3/4ldxKn3LQXsIHeZDL24xpryehcBsME0p2qWlCSm+86CfXHX8/Qn80Pb7fgJB7uqCtqb5
c6MIoa7KC5sT6JOygv7VRNCgnPdpcELiPrIAMBLhAlGUB2gvZfD7g6/dhh82138fnAbLehcz1/vw
O3u63JFV9/1ek4IckmxKtgSJNn+gv/584WyS7E3Xw25vkqv24Shd7MGgaiKFt0GQvyZM0gU29tTA
ccsg5JZ/+FEf5Lj8KHuVgOuEPQKaIzj8n/eJ3QyArgzQ5PHs0B/J2zfXMt89Uj1ZW8srJ8r+xJP+
+TTSSqSbsyIx6S5+rLWiBPeKZ0m12rJsKijY1bXuy+3vL9aHXf7332UiDyTaUMcEZa2n+YdmO74G
eJkQGvdWOswbS9OuaQueZ8OkVaczr/z90X51Fn882oeLxmg4biCnq703jAYZy+kmHkqaHVmO4t33
IQ3k+dffH9Jchbz/vB0pfdHx2xalMzck6/aPv3BOcscbRx47I3HEGW8pkDh9zcSTCzYPGVMYNhd3
mL2ggXn7zSEC+1Tb1kHFrdwPyh+2amKbDjyx/muaLO04kxGyMUkzfljaeUO4VBwYebP8YWEyfnH9
mWW78KeYGZg/3XFeFzsYkHiM0hGC5UZoY47jb7KHraZZlIOwL4Pak2Nocfa2Jg6uV31xJ6AZXn3r
YioI4jr2z8h64j88C/Yvvxrr8/qEs8P+2NPMQKLmqA17hLzJ1gQKGKKAn5AyOv22a+LuaUqtLNBH
xy9C0MvVaaqyljjqklDkcqKsG/QKeUqXbZq50jcWUrowqjxgGyaz31iZLQF4i3ZcIHCE2LPoULj0
LBqYLs8KHd1zD52SUWRKRoxgtEsiL7krVuttlZxOfd7CkNQKFdCr8TFf21eJyJ/QswC7EDMR1NaS
71q2FOBi+jNJIcuhSWnbzcBLN1NURNd6MuuftLYZ9gQSadR283s+W5feY5/u45o9wO/vz3xytfv9
3frzA+LZNoUBT73wnZ9o6VMHF8Ye14veJbdaTnBw6ulHI50e1RLVW0X0yH/8SHJEJqjMadZIuo9x
iT75HR5pE/2+jQgk6YDMGvFffiWuWwvJKWKql9//wp/X7TV4likYwtVVEfphC9nF/lBxbfp9NheE
/RJwcwTcbW09WkTh7w/1821KH5GkFKynqEGsVfzy45MfKzY1ZEHyFvQG+0qSXHCUo3L/cAJ/eRTx
HVWM/JJz+M+jlDpSun7kBGpOq7ebxvW1A5JP7+73P+Zjg5SVml8DmMGjWgQL/7FnnSMfNRwSR/cT
wW4hamKm40y7QsDdEplU51JScOMDNkEa7n1CnbeXIk//tCxZPy2n+KfIQyRwGsXOT0D9ppFiSQe3
2zPXd8FY+cUOfWy/EyODINBLizji6/O3rS7fCjm6l7zPxn1s68NNuSzWCR32n5j55i+/E44NmhKW
T8364bUSC03TosTq9lWsqiNZw1tfB/+6gAS4jfCYB4mr6s/fG6NFo81nhaAjIN7VDH2voiVfFW+F
MQ23uTeFyzK+YrQ1gwaBwsNcKeQ/UJIP5CuPp2oubvHt/6m4+PUP8JmJWJT0PP/rO+yHt3BktH5J
fhEnFV1L3Lr1To0ifkpYxYK6cbMw6gw9KF2n543Vlifkxl+81H3sWsc/qjqKgok81S2qVP9eLi6k
XbG8LXZUnSwPuhQqzhkCXEaqWNYXO+Ta9R9eCcb62P7zLctt8cMv+PAUjH3BF5Yz/RmC407R4len
3p5onmt62KdMTyxFxybLdHIC6SZ0NWSE3z8gH+fN3x8Q6hidHhVB2O7Hx92bWUvwkXT7TEsgyqrC
s79SVt25ghlP4evfZDFMn1zTSP7C0dSrIQ4yadLjWLGyQ9ztTJ2hQ0uIBSlwxlhuXFPVQcIB9/SG
skBksfE2E0TGUumCP8i3tp7hY9D8T7WXtQdjsPVrzTaKwyLlFyB4D87MgWJS/oIau4L9h3P+c+mG
WoG0UEGF4JAc+eGUr1VPHkHp2zdZ8amK9u6QFaG2AHtACWX9oU78xbLtUAOz8xQuH/yxpU4IowNZ
yiB3ctWXYQfjrU3LSKDE/8OR1h3XhzuJI61mPiEAQH0s7JsoVrUb2dxJbfyYG1b8KSsWMvjKmd2E
PeeIYnVH806Rg4ro97fQL96+ji5QnVgWLyYK738+hn0MTyfK9G6v3PkzXrS7yW0uuojeC7f/ypbX
+cML6nvt+dNvtU1oYSYbbnq0/zygP2gdwxZuWbbh1UVZ1D1zZIXkUILtG5Y3NNiPMi2mMJ5rihsB
PW7o4jZch4y//+m/vJkACPFm+R4N8OG1nKp+sJOB53dEdBTqNUMCgYmGfCQZB6Cz339/uF+8NMEq
AVX1oSHpbPL/+cPRKuRxqSYu8tyCH6yNKFiUl/xhj/jL82vQyeBO4vSKj4PxrDNiaYi627NHbgNv
mBJgORmh5BGYmxE/VBCj+Q+1uaHBGDH7ohuAKmvQrpaFKdvvf/PPm3KMjuwK2ZQjPrA/Pq/jrGyM
6zlfZoDxhvsO0XO73MzDTO4RE5ug7spqn7i9uZG50v/wWH00DK7LI+uiw8mmbme69uFe6xnQmVal
t/vZEMnX2qXpuBnbuD93qWHjXXOk4wRS8QEbbV7DNwenKexQzyApkATgJnkwavN4Q1wtKjiz75UR
2LHdffv9WfrFQgM+k0gXHn3qnI/qr0Tz0tmunGaPtK/dKYFJQHSNv6WWT/9wSn5xKGT2AhfqKgTh
7PzzJkwzo6sbXBN78trKdwbQ7j2RKYTuaI7+v/hZ1KBozJy1pfbTqlbD7+xrTzR7CFftPeAyZydn
N7rK2p4u4v80Gu/+e/X4MYfqF4sYR6ItQomIL/Rjp8JcwEZIxZFSJiUw0av6oYwbc8vbDTPjVILx
liTI/f6gvzyV7K9Jn3GQc/sfnuc41iucnXazx/AC5dVmpJgSChe2utn94VAIw7kuH1ZNKg0iR1xs
wxYr1j+vm5cLqeLF4BYRax6YMwP0CNJEjEuIm6ci+KDtzNChJi+CxhpGbcfOUU3bBStUCeDJ5uFi
0r34oOoJiTBBZxG4VuWeCrFcOGAxoib5AvFEu8kJ5e7gwBbIBrpqRclU/CQLxrDEBugPNkraESf1
fAXK3N+T6OYuWzy/CfEQeWI8OgotU1gIRN27zCgnZwuAKzHJWCPw883JaJbEm5odTHI1Ja0VhW2a
t8lTR2r2fCwqumt7XGWl2Gp6bZzKBR/FviPForu1S+iLN6JXc3TvdLjBdvxvbcSy03Y5fFyBCDys
sDTFNyjGVnyJbUnCI+ymeBhQfIHMqDR5MFqEqps5bk2yppL0ueyYqGMAwRh8hBUSQ7dVUua7OSdG
c1vWmCuvs3WGDHkZaUqx70hvJJhgsOcplANGxasSXZlO36GsCbMs7bW4SuFkf3Hxw8xAYPopWDz4
jg+1jTdsj6Uom+/GyB0eqlS0/XbWGt+96OgF462ah1gdKWKnXeNNfgoNNMYKK+p4IQCG9Mp9BQRa
EtK0tv90zfQRFnW290R0XhFMRQkBvhPJwGgG5ykoU3VPn3encDt/ihDrvpDLq1/6ysE2TFrGQVtz
OqzGP6ti3lVNt5sSt7pELk1UQYAaMIR0b4oc7r2fl7tYDSdrmMfABKGU5Q7cH0XUi8oma4dX75vA
ALAd8CzxHVp378Ce2voidfbCXySsYoGaiuniVQeA5KvbY7IRCulu5Q5flsZBc2FhiB2ApNhp8QzD
Ykv2VnO3hpFsDb1K73JrXAKIPMaVR8LuDY5bsFYuRuiOBOsJ1eTe1oz7NAUagEEuOka+yIMpyxVF
BfMvorEAHnTuck/G+rHpBbInci75R37O6S5No2hP+TSZ4aLnzXbqwednSYR02YUJNlpJyLjLuyOy
94ILbtoao5eQSNjCgWKsRV7kbO4XStdLFBf1K0hb/Zr0cBhmfeOEk963747WVIHW45f3aFjvGUDa
qxdg2bhVNB0tnQSKbnYZ4U3DiYHZjlwEY5fb80uJ3+6lSqODa4uHVM0veB6r7aj7NOpU9FI6Wtzy
BJbecVAg+AetwdNpa4+570WnLkJx7cTSg1ssNK5Dg+0485cwYd9wSVttuGvi1rt0CljWaHXX/Ry5
IJKwac5a9dY1Y30gCzs9kKmApbkkEUZ0vcJ7PC50uPIh7ZcZS3pTQfbYUGm2mCll6vePufQSkrm4
eT6VDOun0G3YR/AyZZHIYjV+Zvab3zYjd1k2w/HxcuOoKywemuwlY9PFu+Jf5HbigdhGtmnP3bU3
j/HYfZ6T1u0akoQiMebhgof+s2ZYOz2LsRdrKLbrvUua7V+Tu+T1wcoLU4Wl17qEKUkwKNea5kDC
zV2vjTfFPNjaifasThSRbPBztpwpMG9VQZ5lOTwmdPXvzCIzH6OyytPjmDmkMGKkvjVG09vBpB8x
sjQ045K00786ekQ9SX+33rqLXlzVvGT/6hEMOmB/YwAPo51azO8750EMefTu09xXgMkczGHfqfLo
vqYn5kzle1u3MOrmsjNecba2IVs0++wj6PuM1XYMcZYid6RiefRgqn0eOj5n1gpsob3ZnBaS3IJ0
qsTRFFb3iS7cOojvkmVlEXAnJMgUXxIM8381tch3OTGlL25jpoesJVvkCKIy3xEl0n2yJc5b5uXj
GDoEUyIYWzoeDpKvbbyF8LVjx7GDjILriMMUzhot5C27Ur/d5eybykNZg5rY9KimnptoXD3NNiP9
jR+v5FmpC2jXJaNBCINJsd6D2niCwJg86KSUbqTbKlz5nE7tGScsP5E4OT+5is2Fr+rkw/NgTmq8
iYnNOqceWESpgzqXveddi0TwqRbR6UJPnYehRz1ICLXbnJw6Sc4YDOtXWnfmlsaZvWb1NM62kuVC
wu6U70Y5iXIPOiY+F0U9uEFtwzXkIWp4qLi6NOGbU1764uwCRv/aDnF7L5bWeOxSzneK9Hi/4Abd
ewknVWvFfKVxa97Xdlt/tdcdZlA5C7m1eUNWOGc2PdgTkDhHg3hiYHw5kaVOuvrQ1V/7uW5fhoTz
urhug6MhRtOxqITTioszOsV0I1Bn9N03f+zss1gaDTeN9OPzlNrYOfHBlvM3TOECLUJtonMrNtZI
CPm1wWu5Dkc/A69IzAHiropcelYoFUHZlrrxWBuzfU5tGT3VThLfOraSr04MER+KJ3lcJrAJgwAl
ikhbQdaOe685za0ehTEO/KsVVXUQvjs9eVrGuhhH6cFaIf61rsVnhWZhIV7BpgKv0AmdBRloxzZf
Ld09slxANjnU+KTs+QOQulce4Fj0YbbUUm0WnnPaWFX3CfDg/O65Q/fNjTG/RNFcHI22X+9yldSK
mYtpP6RlMjwL2Ss3GCVfsrD1/OL1bf3FyhLngRhi+JB1NSbn2SkrY9OJqn0pyLy985xOPev1lF/S
9XKv2b/XNgj1SyMGDpRr88533dU+roHVEx1nzcOYc6fH2vyuL4SuaxMWbLQ2XnTBMy6OjZ5AfLdG
PlEu+YWSfXrydSYyy4g3/oRwsEu2GpGd725Nmy+ISFwlENw2uhbxuzZWgaNJAAIiW3AKpJoTXUTC
lmtTq66Zjxj/8B4kijtp0ZqWpdcR3GmsWcm5yDNCyktjkXealdHEHeaCa613XjIcHUt6VeB3/btE
kgRNSC+zoCnH5h20rvEsYjytw9gZb0READTh0WvuWS2Wd2lmdRs4JmJn/Ha2esNTu9hcM1RLWl1z
Whze5N2eFCKDcDRK3sfFLLSL3+usZq4zvJFJ1Nz3UUXjvzHr236Y688TEMV7o/fic+Q06b73cduB
woZV0SWrJ9fj+a60uP/UoNjR71sNzf/AhnKliIIdeKeidm/YE0c7pMQtixj8NvqmvaUYCFveKwGV
/W1U1vF+KIrhIJySS8Nr89oiN0BtbDdO7/C81TsAPt1TWyP7XAndxIfxn7q6Jux4qK2vpLHZO1Fj
+q8FLizTmpAPDRYZOJyvDRNNgbiy5TmECjJfjLKd7ihCxk0lsujZLGIB0lI+9L64AV+Ic0rXU/Yy
bYtW1c9uG/o/ukowjZR1y2Fz56yPmPoBVrBuWATNTnqq3UyEipyr2Y4eCFaWR4StZO30abkAMmTY
2CCcO9ppfxrmGc8dz+YNRsb2GpxuRTpBNSNWtygBfcZ/tFC/+Da8iNytpksObvXbUIhTk+oGSxp4
q8XqyJJzUK9Pvbiapkx8ot5G1atP8qs/rnMm2RMJrZnHJpIu07KEgnTI5PyJMLv4olfJuHOn+uDI
ogn9EZjeJiXCwxuXL/T/ys95ibyKdw4nydTI080cdjiBO88iCbI8J1Jc063NEGmwt0qBDUApBl+G
qkMq1PGOSBZ9b2VZ96AazWGp8+OL6jiIsiP3TuFx39CYhkPrRuIL3ArnGXJJgSvQfZ4yvdzTLkXT
CsaeTtwqZZLpmNykHo0baZhrWKPxNdGjcTd4mr6HybmEXqqscBx4GLs66Uk8plUYz7NzRXEhPmXC
3leECe54nFiAZcbuNHbQTPmF778PGEA/TbUwbv3SX1AtlOKxBgQaTNSwO5u164rgsuKZIF33fh64
SvbQTc3OpS7EHduC7YL3+7YwajKxxPbpLarn6AFaJnZeEhQgSNc1dGdRZh2elKyFtAImZkHJplyH
gl7E2RfcvbhLx+rQg8kl+IqcKTkDYl5081MPVWXHo7jD/U5GBjM2CjJX3ZbCjp7gClBmCIxNLIFY
8bw+vXh6u4R5aXlX3YyULsLpmJAEvcmt1j6XtS1lkIy+wdCiWI7zLIcbh+juihoNTjXRyhXEyimD
pmIlpOZkIG82bVuxLS20jMeIGdpwQ2J39lKawtnbBg14WmuSNxbGRpA3qTbd+ZHVXM80s9fMEoTL
G/K88hOWUP1iu2gcM3c6REMfDF6X32BWlVddBZinE7JgOIorgryA/pq+74zdIzsYk+a/+MxM2ed8
aWW1cmfsJWhqYiGAYiUYnYfeeIH00R6l6X41FuctamXzSsVavBYdLKesg1zpFkBxrEERUO2q8n52
qFiKuTUYevv9EsQTXgjKoekAXGRIT5olRxEOrt65BzfHTcCi4cizNq45xAQ+yzPtG5IbTC+LJWMA
/G3co3b2WpZZdW82XnkPA5SIrnRmAc1we3wrOlP/WnVZ8q2J9IXwFI0PbFABnOw2kw8EA3jjS0vF
w3VL2eRASSh4S2iOdSxqVP6LP9WfeVvSO1sKA8AEwQ7WUUap+Uh9zM40LxNxivOp+1bmAOc61dFE
6GZVvue4ppJNh+fyVe8y42v+Hc+AHXi665opegX5yyZcRCnW1nqJum+aXZPxZi6Dj8gxt6uHoplY
GLpkGuXOjftB7oQ/0tFQU8LtkZiKAkdWII0SkiihL8UyeiUYjr/j1xN5xm7m53YoKp3bqLLmPg+H
jm8JpgO5VFih0nLZxEwcNEtF1V2li92zb9SrwUiCkZjAeEfxyicvGiDboxhpP4aJ8Gdtr81rCdAz
IcVWOpX+dZboogqdFm55UEQOV4lUcIwyxaSi16EdElSLKoWzBFunfDeV4qiqsQD1jdj+X//7ZNqD
FquNxXgSW0ino0xzyXiXG/YTcm/5dhxYDWiwgF4Qpx50VPWA69qs9kWa0e5BWZCywcyn/FAbdIHO
ZmNP+ADsxb6aCad8sEcUFVxC5q1rOCe/L3dt+iFtrefZVYeKYdiXM8KPGyJlhvfBoTeKKheA2o2j
Gckjoccm+HeARyXgu/vc9RsClGpPf4Td0c2HiTZ8dBaKH30wB53vSFXOt06J/GaXN0+VxvxPrvZM
PeXZpfePZ5G+DGdx0Hr+/FKRtp2ye0k3fNmVfz90byksrWLvqxbGjvLRjkK+Sc0pKHSen83I5VwO
Ff2/0wi0EO677Kno7ETUGQG4LU0UAm5JV8SYtXrgK8GGm5cw76+gJIQ2BwSkVoTaAl7xnAyWDviR
ErIASI7fBW3gk5Hp5rYppH5iJt0exlKRARV7Eykiefq8LMn4NJpEi3xvPf6fBvVPGlRsxIxV/qc1
/BMZdf8m2/ifWNTVeszf+X8a1FXK7yMyMmFzCIsG+L81qPa/QPjTmnDR+Kx6Rf6vf2tQ6f3+rTm1
9H8heCBrnAQMPL7EU/wH+A5P/zAgYcvjgxTxWVYYaiIsWpvMP0zBfVPCmpJecbC8+POYJ9Om71iH
GBK+VJrz0IIdrta+j1caL5Q0+E/deYd/+NSvPSKqevNoEdcA4IQOUgWH7+ivXaV21uvQXTtN/eC3
7zMGqlCufSi5dqS0tTfFSFm/aN/7VWvnCt8ddauXkpWqVdMWaMUF84J3Ny4pivi+vKrGdOTT1Lpl
bJptp5kwutduGU2toBnK89yZNroBOmoZrbV27bHZXWSHuLTcAICEejRTPw/WiGewYTyegkYdAan2
niDeT44o0425dvPcta/Xrx2+bO314fFM7wyno9mydgIp5beC1iBBmRu19grntWtY0j6UoL5QRA0j
EEN6i+naZczXfqO1dh7hmVAirN3Idu1LjmuHchR0SbADfOvX7qVY+5jp2tGkqPliUkGubboTbwqg
UCmNymzthC59Rc4tzdFx7ZKWtEt72qZ0Wc7R2kdVWjMdaoue3ORK4+Kv/dZ+7byiy9mV/niPH6G8
5KhertPCa7E4MtHO2dgVN21txePW9KATNFWTvyh2jPcM6smM67SemNKKMriOh/ahsbTogYgd+0rk
M+80rbTbA7EPDatOnd62shhfIp/lEqGq/zyVVg4eWyoaN5KuVzIAhulGsujgjXr3OBxZ5wqLQqIw
oUX1lld/dtOMNxQBwcVzlVfk7xV0+nWzgCFWfX/jGwUN8liv22uaRV4IEMng5PmmMthv0j/ozLrC
QBJFuF+kXp3AUlKlNl7lNtgU8xFQnAREqtPZu5oZeOzM0c1eXZP6IpyiuNoyM4qes5VK6FlRuZ3K
VD6Q9GHc4uHCdr2+ASh3s9e6jngjQOfhlZXmmKjLjJSPnkbj3WwPJNDBSgM1E4sJ6lfH9SNt+ABK
kem6jfwzbBsPEqtuFXhQZ/1rq1zrqEFAzIK46zmrreTPJMN0xwkEaTLNcNVIETQe6RUh8uv5SDQT
swr1Kp7v4I8Uz7YiffAAeIAf38zxfCFqhu9YSp1dlKOoMKXt5IE1cx1qr+AD8agkzbZo0wqSWjmH
U1/WnxOeP1LYGawhgWTHG01p5wDfI/G3Nqr0FsAHL0SoV3tDWfWbPbGfjJSsz9+/WYY619sNyuDj
C9N07+MloUVgt/AArCjx7sW0tsa0vnwv1kKtsiv12GViDKQzMxVN1x/+faPKDLd/cqeSP1hEmXm0
BxaREJnuvNX9DrngKLLX73caPiSOtiB3UxtjZr+STsBZPOHL81jDRt5QnNHjpMHyTLlmfgKuwiu4
L4V7DwBfHGUeTRes7yhSWnYlZqxccaiH1XWvRHUiCZCrZpLotiugi37r3SQlsEI6ZwhM8xX4DvMS
6Zl3GUkE3ibckbhnfTt69U36ZKNdJrSXookPGjyO6M5wJIs40R7kgupxcah6ofj7GAx7f/v9apVj
KR/SeAb11+VR1QcGKsxAZpy52RX2tdF0sBiISEwGmut8vBoZbLvFxF2/8A9mQJ89Wn6B2WBuxCp6
21XJ7YBZTGnd49BQqw+2fK0g48UlWBTfuzF7xb4+vksGHVNYnxzKrH23R//Kt9iR9FTEleleps5i
95DscaE/x23nhLY+edcODX6ax/Y2x6Rp1rOENFTJS897TG3MVVdtpIZzofp56ozMuIX7aoa54cWh
49ZWYLioH9Nyvk0nHyoZaIVInqzKXUkq2nQ2JoLYPRkzrRk9sr8dmRPW6A9iCz2bpgpz5QNR33XQ
e3mThBrwuiqeAsiAb00FUgi/d32VLarbVmZpHJHZ/tUaPYnA9j2vScg7g7KoS+PosxabL53m/TUr
pOZLBSW0GAowO3OFELi05pCNM9tIXPZDUDuOfFCWEAFWuuVbOdiUa8zfVt3BDsv7Q5UpMtTdnEZA
nwS2vXCBU8fYTQ228mycczwdxpMzU7RTtB7zaS6PkAitw8giHOqeAgNR5RFuNZITYqylmpSfG10x
Maykfg1X2z213PhMLxw9tIfos26UTUCg40YZ87s115c69dy31KQHBlVQf3Vp2oVGnj+C2cm+kFJh
bXnWASpaDXRIVTGAoNF9Aogqms2wLKwH1lAcYoJ4KF49XWAMD/FwPTRl9y2Z+2irV958yzB1xMQR
M4rB6mySr1Mtrdoug1ldS8O5LVjz77mtyLdxIuPOIoFlC3qzktS6q1G2yutQdCRHdYZZv3U22Y0k
aB5n4A0AK+ovCoNj2HidH2bG8KJH5D7okre9z14CIaj6C2vG5yax9vrcRE+jUaOtt/KBFGh6NlIw
WW4FeQGonwOHx5CdVRW/QDTtgqqzwh65wvXosSGmSPC+CRewicse6ynH+UUNgROUiaIzn8Y+GulI
mvBxULJkT5mLwVhAMHvr8Oi90S8rTn5bunB5u4jxrEZLwhHjDrTUaYxLWJVLr9+6USbv8VEjM0oa
KitrVYbUrXdbD/X4Wulz8TrCsbx1iEAKbCqsTeukS1jwFLGS9ynd46SymyBi3uZvnCmLrwdGJcap
MyNj2iTdQqSw36idFzelziMRP/fOpJ0do/WC3KJhykUkaiZqY2075Jm6RmsluGMqwhFlY9eQz5eR
1+Ck5K2EJHnC240LEXYneNomevbRal7oL6XZdumaCo6RX2m3fezZRyqFfG/ostmmE2BhDIRSbJN2
eq8IRD0bZdw/jW06HoBfN5+cpmcsy1oYsi1kb+uOhE6KmtQtdznmJVUYXWTtpEsWsNowm4NEpxbU
bZ8x65kj5l6Gx9cqkEGI4qvbFd6ma6PxnDuaftNGVUvkomz3jYm8S415FFAz3ExM5RGw7mMzZh/s
LZ+ztpV1mFUDA2ys8rg2c2OTJqRIlULvA9nmYr/I5WZKE5I9GGltTIWp0i664W7JqfHyQXa8uWAe
zCPT/ibrRuaVufbZ6ok9I+7nbXQJbGmcud/5tRPvVBHVG80iGK4FgByqFiwLgmpznWFceIPKc+VO
jAx8NW86fbSfrXraT+MUh521PMyO5d5OqUmqsOdlexSSexK4yFAy2q0cZPzWTPPe6nnlDY0stkOa
qe2kT9MpHYwuUFkXHUnDvU7j5iLw54dw+rPjvDjTVZShXmW0oSVkY9HWvfg5q6tx5SpyV1efT1IY
9T4vxywG9pU1ODZVN8aM9EYxkHasaTGvhLjR2e36ejzTKBiLeTpO1L/LtU2pAr09LnN7O3fZEE5e
bdLmU/mUEb80KCXD0klRP5EutyKJCFgaxMaxImkeeBt+Yi99r+n+sCsrf235qPEhAq2+Nealu40z
W2J5tsUNjYWXBsjXdqmdS+qD+8iWHmMvU8uwIHno3Li1/bUDSPJf7J3HduRGmoVfZV4AOvBmmz7J
pEnaIjc4LLIKNoBAwAaefj6wpJFU6pam973r0xKVDgj85t7vrnO7mr9ardVdjSIwdpk1fFOJZhnn
2cNVOAzAxkIGdSTnjEvr3t4y6LFPDFyau4RSZWvHjFwBE75idYOLRBzq29iBV8nYtYEIIidFGJm/
SnJ4ekXTVuthyCZgEiFUpphANEbX2d4Mo4fIIH+LrMDL2aHQZizwEdg4it1GEEZnFeuydt9TsoeZ
yWfRhU5mv9rm1lL0J4xQvpoMCz+CwstP41i11PGte3D8jOV+Ht2bmGrMFWDTGcbd0BXHeY6J2pxn
V59ctu9n+Kbzcwns+6pNxTsNaAK/2ib2bzV2y4ymimuYGOl7IwRPfaMRH8FASAaM7a4DeJwNO2WZ
6oXyxd/abB7uSFCY19RAd06WezdOPictBKTSuTDdiKwxPXOn9dX45Pdjf0nyX3WaS8A2JJ525U1R
NQF489BJvyIIMYEN59m0gzvLo8CMFBsnWsOaOqCMwo8wMTk4hsSz7tg1hM8dWu6X2RHV1zllCct4
3nENjvxg4UKbY/VQLet8b1nsx8uKv+VghG89H7Nl/S8XIQCZgMV1togDrEUm4H8qBryFkKPynEQx
mxe/aRKKkvxTXVAtQgOGdovoAL/4pwaB6nmRJEw/BArOIlZgSjR8TxcBQ7BIGdQiaphQNxSLzKFd
BA9M1U+F6gV9FmIIX5jDbbIIJEjZYpK9iCbmRT7hLUIKtUgq8kVcwRt7pPGLN0GU1jtiHMNj+anG
+O/U5/8Th0MsR4Ti799Pfa6/jf9zeBOyTbM/gyZ+/cvfSBMm+aXW7zTW3ygTJNssNqDfgm1MhHy/
zn1c7xeHyQwq/4CRKVZBTAq/zoFc+xfGNgC18C8sY6D/DDPxkzaYGF7qFyBnnFGoMv9iyXWheCdN
iCmLZjtdOzMkOBihT3/4Uv6FSvInweKPFwEyyOiKAB+MgX+eNXXUQhIzwXzoC5uAzqBF/RMsgobC
7bZ//1I/j7WWz8P8IUSKBP/7L7rfWsRTkxOcdYDoj8KqzIpLTqWYpl8KUBdZdxCWMkDjeC7RUvqf
HJ5/+ToRlyNlB3YGCMSxfpZa2+UceqNPsZJX44Mtgucwazd//wkXdecfBJkutiTb8xZqo8nvZv9s
VVXK0EyIrebgWePD5DlPbWTV6x6Txsqcm29//2J4e//6ckwmQ8/10VETsvuTW8ZJGtefohak94jc
BJUXS9c6MgQosVhAsXUf3XhsxMpNms6k5K5zsWqYCSqS65Qgco3FDOYOckFWaR4Wx34MItIu6yFC
81aW9I1tG7HUsxuLXbVIoxWPLfto58Ih7Rsz04AYoHJD5hiqM+0n3UKeQjPdi01hVM512vTRxkmB
8kDOmJ50HqtT5iOmXDl2AD0CdY948L0yec7YVoH1V845TpDbeF1V3C1rP9SGrOZx3ifX/cCUPhER
5XvI1AgXX8MkY6YeDZMrjErDzmEa4QblXZ257/4cnjtVC8Z5obiQ5vSa4IrhJXJ/a3j8NwVPv00h
52ZfNB6PkMraeG0+flMp/R7o1BupQbFQpaita4t+O9ajf43ttSAQEc2onThPAbmKF3lKZ9W0AfEK
w/DNwQTzMFVtttFWnl9DiEkeOt8t1wSEr6mQkk1QL+jUMR4OxIvGZKBP6VWFJQYRB4gqNGyXXmKS
9wELo9PrhNFBdOzCvEfzV0MdwdbNTikkvdTG93SSJk6iywrbgLWrJqX8R7cKjOe0GNQN0Hn+OyGy
xYfaKoZLJkn9AWk2PSWTFDZnjZdexqJRVyTRe1vY5gWi2YhLRDT5bVMvZdhYWdtBI7IastJEIAM+
C6r/hB4os/uXPjMbEKymBixGLuUD/L15W2U1jmbUEoTbs3xaLETRcTZUfIrjVJ3lXKlb1B6nONLO
SzOH3QMkheLQGKl1BR7FP4iKa6GZfdSpXTXtK+G8YDP3NKTcPtkRODwd3DaLzqaf5HvDoXMgx7O+
Rai6sdteXyVTLZt1JEtzp8a8eal9wrBWBO+SLjJ52eKT7y+zBTsaz6l/mwXtDp8+Q4WYmQhDw+Q1
74v0yJ89T8OCSImbzSTHs9TFI0p5RIRDbuxdUQ2XHQh7OhLadJa245kEVWtvO5l5sExJvq7oCKSW
bXOpa5IyVmZCA0HCT2hzRdvkX5I5Yp6duNFvrUHbV3LTnIYkNy67xLf3zgQ8yy8ND/MY+75dETfB
pjEbXi0pHGKZKOuddW1P8S6Wqb4gbDp+CSF1QYlNoj2it/FyIpcSyEE/IlI20n07UA2LQjAIwoGO
WbJnp0Ua44pcwPGC4FHQOQTk7uKcEXFd1/maiEvWlEH65sTOc2TN8J+7zrzLwK+wsnNeA35XIyyT
+wKx3soK+KadbIZeU6MAikkSnJkmbuIROWgTsib15/zKaBt5zpu43FTN/JElYRvCvyngGMXJcCST
p99ahnmedL+DTojAw+hzXPFy3M8F/9kEvc+jsoxAcDyNxoYRU73rIdG8tQMDoDqV/rZFJi0T58Hz
JLMxq1AVIRxDy4RNOm+c2+ExEyNDCSul4iW1YUtG2zL8deV8HZcFzhMnlvqxtsLyxIE0H62J6b20
vRdVE3uAkclg3hXX61LGNivg9JSEWFZ4AKzEYILlSxJ2lKWwqut2KfwG+5HNN6t4KAPrJFQXrgoJ
RyIeYhMXRohCsfgWT1EOCa/dBr3tvvWmK7/mvTPcSLcV0QqJRLjhSPBvMqQXJ5L0yqMvbMbWYVZs
6nEev6CIcQAFLakGZpRrAJQ+N9CKzU3+nfyi8tli0PRAZ+ae0Wr4bHciaw20IW9X7FihFpVpt/Ur
ri9r8qcPZIEgoYG58TVX60IF+RMiRwi6UVbjJ1D4yi13ctc5uYLbMmyIL58D91RCcQIqJefhRrSh
cbCobNZNE7wHWNi61RDxu5PbnR9DthwPZTtZyF8ysVU2I9Fg0NmB5B57S+Z8eugzNgH11OM67Tzv
xme7fkiNJHkNva0AJLQviRvdtKgfHy1Oro1N2N2OL6l8YHOGK8e00LcYXWHfu8g3/VGI504X7iv8
j/TaV/783FbOpi6yEQ6+VOq6t2S3KwhB27FKyw/Q29Wq9LnIeHh+R8BAXkOjip2fxO2R5+N4HHLG
bzCf6sC/7CyhgbPYZdv/qCv+u9r9h9UupfoC4vi7In94+zNd6Nc/+bW6x5cNXshFEvEj1XIp43+t
8FkB/17SE3FpBk4Q+NAQSU2xKF1/W+1ColuMtJTgLu2Ahw/rP9jtWj87nGkcUAWD8qGyj1AU/lyF
pp1LgCVbvasAp/oTu1LvqB3LUMymS3OjU6iSPG1qSG1RY61qqxm2Jm36dmShsO/ttjkRxdDbX7yU
brgOSpVeNtNANKwtm8ljZOXqJ2dwhy9dQYXHzAMNrdSoH6IhZBQkYdVtJj+thj1rCQurZVu/VEM8
3MyKRDWyuauxXxUz9h1kkGrcZcItDoHKxbpXDOOZ6Otu7yPzYamQ5hOr26QGwGpodmuu1oFPTHU4
Jgc6gbnfTEVucoqVLXwQXRQfDevnmyzxBrTco5hu4rjmgcp4n88upACmmU9ZERxrrYi2ny1IuXvS
kPinTsv486IP2ac1+Kv0MQH2BfhV6Mm4CHmD7P/iGZVMzTTEOdtAm84RTuW7OS+Gm6bk9M4D5MEj
uWUJHNt62VGp4CCismo4w+o5OZBsPd0qHBgV0041dfLKKezHTkqCAhFCx2bdNYfY8rIe1icVYLAP
vYrIlkARUwElHsIec+yiAtLuBDM6YTK/B+PotlbNOJoEIfBoQN1DeH/bDCR3OT23EtaKczcwaF8p
aAMSBV0WD9N18SP8jGBvFaEKTJTYyXBJSGOtscSlYbMiOy0mR3Q3/IhU89rOwUTVkG3WnVoidtIN
E78lhs1s0XNf2iot4w37wWG5cGgrWUZ5886YYMyjyyKnAwFB1/cEwlm/5sOptsXAIFbFaI+t9SX5
ESY3/YiW68ZmCZrzfsTOfd7F/z3w/uHAQ32yOMr//YF3JOqjwpT0J6Dajz/6TcwS/MJmzIbL5bHg
Jn7mdzFLZP1CW+SHCx8i+pW19ttQg3mHydo4xEQPoR7ezu8noP/LQmDBF8qBtcAu/yN1Cyijn7tW
YFWIz0xkNYsFd5ni/FHdkvmZm5dWm15MDQt6Fiwk03rsyS4lp0O7IqPWxf7FfFQWDar7xe/KgmAI
PdYyLYO8g7IEoIcQ5OvFTMURb8uhXvjTpjmduTuEu7dyYmPPRZSr5wZNpLdGiZ3kZGaXeOYGuyVd
axRhsypjr6cYF+aMvgPL7ynKuV9W7ajm42zNnbuq8iWYowwctR0WgtfaGWuMU20sGQKHRvOVQit4
/9z1dmGE2nY2HUCUsuzatQ4xJm2sZHTtU2R36aaNhH81MhyhSOzhJtrGLmipila6HExnAzgxu5d5
rs9TanbXKrHF3SJcqLbBVBMNkodT4q0qz0zClZ/Lu9KTrPkTMskQ7OtDAmbowpaKBLw03LOHoBhN
66wmFpH1vt2mKD27EajyZvLQ67pdYD+XEVN9uIjlvWXjyYxSlz5ZyxuQudGGialz29u5Og61pp2z
7NvUn9sNfqRga2jm55M0ylsHZv21U413njkSGl6WOE/kFKTvaM3l3gWxtmY4TKy7EIjL/am5GxSR
Ras+zZIrBKDu9ZhWgEe7fu5P5rht7Lq+jqUS3/PBjwjZdBE3eTBVEhW0d7YfvXs8Nja0vPGaxBS4
m6QQEwQzP0eIh1YqENWaqNSLYaT9D3BD3eeKI5Z2arp0ZDDe4sRqzrJIv+agzN682h9hFE+XNMF6
46EEXvl4x1jtSeM81JO4L1Uh1qD822vbKUi75Bsho604qzLvro2p6NdEJbaPDIxjdo72dK3xw23k
5FHFerxTA1n7xhzi5GEOA55Q1MooY/OqZthCEiCrVymtSydtzAtt9h8l//5N0rvlORgq5KtIo6K7
AMffOUQ0uJpVnMc8TOb5GnR/B2t7MPYF4vr9bPTVnWlzRQd+350oo91LXdorqRxSGrnsr2pgey+D
YoW6NbouvXBz6J44vEoKdoqGTVMUZPbkMammTX/pAzi8MFP/aoAYjaDXpxVo6hA2bT4ZByim8KJ5
KrMvMjGB9TF6JH/ungyj3LHqvMO/bu7i4NIdkLGyjWSh2ue3qaNuDNQqllbRhvSGO6sxy20VyvdW
BsFR5PWTXjgk7FReRaDKHdJNBiEisy89d0QJuvxS+sNI2NTVFniTuTef3T5CU6Cj+CDHwbgawyja
xr1MNrnpvnAYtje2FNPOaBUdW5FQcqHReHIxy+ACDVrw8YBZDPZ8fm5cBHC8ViiWXzBcNNs+EGpf
omdCon0xd9mpE126ajo0Zshtqrglms2PVuyVBEivnASIUWYEeeTT2i3y9g6Ob3mWoZfQKvA167lw
jvCgprOYynlf0Zts8IoQVVdM/pWrBsTqznhU2o2LzWi143l0uyc0A8bBaLR3PZKARxLmqm7d0UTG
YLhltGksZedkioyOOCGXvRYq/FqT7bP1/Tl6yFEbEHxFgZGGWXyraRhvWJm9Va5kPMGwZzVn1psv
B4JxUmV2ry2zwT0GO7lRsrQvk7ISO9P2uKTNpATo6pa4FdPyVnPswtzlvAMCimw/qPTr3BPxM8Sc
z6wNu1OmJ/0a6Ql7hWBYdI/f6L4yieahXRY3NRojDMVR2cvbxIuRf0iyT/eSnGcJvp34w3bO66Ms
qHAIBe6AqMkquuvy4LuszXGdELO1G9OwxI4TkuEJr6ALV9KvRB2vXSJ/pmRd917OxjbzjZ01Y3AM
7U7sdIqinMMd3/bUP6Wlbi33oIequxCVmfY8W4zmvTDwpJAvmeOSn9LR9m8KFWIty0mOORR9mM+n
yVX+eeKBfe8opjPUSVx6R4W270trZeoinQU5jSDovK8dV3+2tgBikfFkxIGL8U4Gdw2+a5vAVlNd
1Ix6CTKNgQYzdE0OcdMdNfb8m7Tsy3ssck6wQvoZ7AlK5sKN5jF9gaTQbgfbFQcrS9I3YuHMaIWb
lalPojv3lDiKaOXAldhO5xHY3yBD7g9nGIYVOklWjBztNLauCe7TtcerbmjbW03KkYkvTE/Mb9iT
s0jGvzetgNz0zybeibdGmdkLz2RUdKibr9h+i5t48KLvjDN7Nghl7NwZyMOfDSIcr4UZHAFclN+o
zP0Pr4o8IqpTp+nx3AxsSrGCH716OApO23XLjF1vdKlCsYpivkVgSWn41A/aO5V+W34YuZmzv+1t
iAq+zMYzwWz+E8+RaCunmSW+1raxpsKVMTxCKyVVjdjF9yLLIpfDKEEmARl6QdowAhM6NW6z3G9B
sDlCveA2Lq6dUjLHGuLODdZ2JGbks03x4XZNcccm8r5sSaddZ3MVHwuLeF/C4blZJc3Bzdw4SNzb
sQ31ysZ8LrbajswrWabjizfq8Vscps1r6GKJgUMfQdhIogQ0X6ONC2Xlwy2AAoTuTquMd9fUACix
toAYwrx2QOQr1SEwRvkaJVMVrvUc90dpdQ4q1CxvNEQ+kT83Yea6q7B2urucAd8C9HYaJCuyPHLP
IYbvbVPqtXYnQhWKNNo6gTJf4qiLXWa3ZjFtrMEg8bp0s7s4kuYe10GwrvoeZjmySHQNDsuClWcN
Yk17FJz02DUXVtr5ENBdWtihb5HEcMEFpZwXHpe7bRjWr3GTAvVOMequ4I2crb7tNi3blBOYaJar
AXvfzRTk8tgGLkEKoqzUS6HyLiBToW+tNZSc+kuh0ZBuO0wVDQ1dM38D+eBcxeYoN47tf3WTNHoM
0kq81Ulb7xwSzEr6siAmEBt6tLGG0cCJ6DG+PGaAV66i2Q1eB1JJEL5IZHp24s3Yqsng+BqM9NZd
bDlPEZoN0kWFM7mrRjEfq2q7PiDo538Wc1+EB8xI+i5kQjusJ6aob0M0YLeqPPkKZrs7exFCnHU+
2eZLP1NAbhNz7LmWzLZfoX61PkiFafJtLPyEZrbO4y/srqtHREl+u3OqdLrsmWzvmTsbeM8UeboC
u/wxT4pbc+6zL00VXCd6QM0tIG6HxhbNVLqudBed3S4yr5FMJpskEgEQbdTHN5h2DHKRk2DfIEaQ
K08N7lfwj0uwSi2Tp8rVAZAyMbLWtgzH0murzUwcaUly3Xb2jERsjtkDlSgkXa/bzNIpd71p9ifL
SLd+r8S3NLd7YCS9H0D3gIq5GlA5bgq/U4+JF8RffbeOd0Nt4vrn15wX9ZDbX6X2BCacMgu5W+yh
E8hUguE+Kdz8Q7I/qVZk4aIHMNKSo8UZr2oIJc9lPJUPmWemezPzDPqDuD8pyTiVC9wPL9l1RevE
pEYUI1lyuGLbXaWa/hBmUQPIxE6KLy26frVKGVQjSM085HNS2v62ief5sjAseTHiVTnxCcuT7WbZ
ezxnHQLwjp2lbIZdEjnVsSkTZ2MX87MkDZPhqG2pt8RpglunaYxv5Gur43+75P/X7t9kbf13XfLV
m9J/CW/98Ue/rf0Z67mYDn04Z6bJePD3wWAQ0UCznmYjboIjtxlA/ub4iH5ZJAEk9NAzIvtivf9/
Y8LgF3KtHGh7yHA4OP6zzf/Pe2S04p8TRzMC7vNX5C3mjpzI0YLohgR/Gk5pt0LYnuhHYU0DEzc4
yH/4ev6FCuDn3TgvyPgzND2bdw5ImpnBH3vyrozSzph9LFlTrs7Mjoa1j3Zt//ev8rMAgFdh/W4z
j/W4W+yfkaed15oDS8eJED4MhyN6x3NRKyIVKFC2pjGWPBgU7JcmN+7aES7A378884+fRg+syH2T
5QwsA1YB5s9ih77XIfL+oDswOyAvfhopCLGvmYeB2LITJ7e6mPIJKzqyHwCzMnZwvyuZGei0mVTf
18yHUWKypr1qR5TLq8SClhDOI1wgu+DfLYmZ4LFYGkvouswhdHiglTyknlp/b9g9IBoKoZJMCC6w
umGjRLJ2IXyvIQqk0fsYlzCoj4QBHINMzg16USZ1ZjOBUHKwvis88g/2hPWgc/qYU6mVb6Ggtl4z
0dTomPhEdI3DU9mDl2jzqTrFFrAPFWNRhm2A7DdljvmaZljorcTkD8cpi05YLJedC6yAaAjgeECW
INmdrwqnW4IK12KpyJh9b0NPW9iqrQ3BBFenrjWJShMefq+ZkRS7Ec1JmdiMAAL4XpAmGW8MwUif
2gWoQP10vkJKR1yJKSA2xxTJOJybcyu6+GLug2nvN2y26K94O043PGG5Bg2Sz/49vw6MixZrXWVj
CeyZJLzreuR+CEBtZWOlH9Murl+IPOGXaWRlHvwx4h4aSX1zuio6+ZaRHZoGcsLYs90zFX+iTdU+
+0CsTvGE26BJOuuhL+f2Of+MUiEz8SREyDcS5Y0L51GMdPB+P6OkhPyxbSXxwGM12Nu6sSkPfUQS
vYWANbdr9U5od8TDC97pOsltJszGhMCvcvvmHcKxhnvR6b2f9eWxDvlxdQBCYepzmv7WqVSFJrst
j7INycqYF3qKSzIaooPiLhlJKvepJa+ZJnnrMkqGb4WpAUcD0t8JMvA4NKz6NZua4SmOEMlGDTgK
okz0Xoo4XFkTnxhzvbyOi+VmNxrvxkjMYe1SuWx9KEBoh1PEIEXBpTiwL/hmQb7a68x2bxKXX+IT
ueFWUm8EKZpiU8qe77VI5FuAmBPFbpznm24y2B/XgPDvYN807yRVzVdgNPSjPUIoqGpuhlIhPDCK
qvswc996yNxs3JDWOO9ok8p1m/A7skHgq14u0bKahm+LJXo3Uwoy7Z75JXA9671rcf2zooBvmwTx
RdkWL6PR9oB3lLhJwu8mYsthhVsd+gUEbvuYtt6raevmix3H/VNic20uuXdwrcya4GaXxB1YXN9o
AuS1zD0uyglrwZTyQ/mB0e1oO+SNFI57E3WjdwN/zHqosla+9J5fvxodS8yZSNydsuP61REeEacI
yu+nUIeIjPMwWofVWL8lIRnd68zRBvnWEMQ+P1yYchO0dWvcTVpW1MVZPjPW0O2zbI3iTtcdkBxa
mRLzCSKUqWQ/449mdujwl1vAAQhW8KZMvcuSZTdXbYE2XQNx+WJlBe5jUwfO1rdpDDrfTkL7OSwi
aqWXoa7G7j1TvfuSWZUoksPgzBW5191sVFvHpGy90s0Ye6jmnd69cwqtV4076Ucr1Eiy/Z7RjYXr
aNOg4NhxHXrmqmMbhteMVCIEO9V1X0dYobnCLlwc/Z3ZGufaLO8Mr7922QHtwjTwzrOCieIRFHuN
Ceg+9uJrYRAxjP48OYD3SY/CLh5bz7W2aLb7be/qr8Rv9lt36D+K1BZHo0qwirjpMZ193PDgH061
GMYtY4Vp3cZJ92FlgCqSrL2cuibGPKSsi2km4ozJFEiwwKNilkl2DchZXxmRHPQaOfiFn4cXRiGb
TVYiKV3JKG6OiLRY+8JxWdNSekw6EJ7Tv5TfE2CHIQbtKtjTn2Llcas7XQXZ1hZGdJmnibxq/Xzc
+Sk3bJOj6Ebuis8yIkJy1vyQtjWYR7MyBsyM6HEkPrxtPQJllg7tMYqofJ+axJjbhiAOx8siaP3W
vSPiaIdmrD2B93DKrc13z3htHP2110QkognwOMTKlt1wsGUWANTC3lCjzsKOz4jNNvtjAoNhQ12A
wMVDcLHRcfsOb4DcB0xZDGubDCNZymOOkr3b5oAq7yCPWiurK+AEDj2m1ZQJCkK+iW09hNzRKabL
akoG4jWL4iUygH+s/cnXZHMMuEgDXwIS9MIUEYDrsEdxmjPVWYgFky3CUXK+0lxyiDB9KyS9v+S+
unLLVl6Ocwxs0DaRpk2yRXGWcle12yQpGlo1rkDdWd6F9NX0OI8A+dlmDuuwJdGx3DiDUV9YSAHe
EAx5R1uL+UHmLNxoeaIDWsToKLDu3WaFM2+GuF+wTtKFZlMKLnecLCW4hW1Lhsw5aIknqGNt9atE
gU028do1xiC2RlTOWM3wKIEVzr8EPuyN0NTjzo31sCJZATBjWoJoSAisRfqyptkaj1nmTCAlhgFa
UhI9lSgaMO5zxQPiSY/hMMXbaIzdqzqq3YzRk3Enuok8+mbWFxoKdrmCT5nSfEMZ+IYE8DqN5+AU
TZ1N+O8I8ZQRG/sJ4abFlWxn6wiNLGjgRxIHBmjYeenZorirwMOEiQm3bC9TnRThOsfe/k2KZZrv
BpU/QUY1h+PcgOqSwlD73iq9l7HsMVDMRZaf3C4hYdLJffPKat1hRoZVWYn3Eg2meRjTggmqWcOc
YFCByilIveErPKF6DUl7qQtkcybQrETvPVT1NhxEdmkgTkS9hUIj4PIT6VE5gzpFTVu7azW1bbli
CpodmJHE7TrPEBRCg8sOOMDkV5sBWLtWiLmW34YJ41Ii5bnDc6i05kPutRXLmtjjcJbdBwPTEQLC
aGNsNZF/sEDnFP5elSX2Vm3Ed7IIlnugoEwIYpP4BnILKIjSTHxybW7mLDPujFpKPm7mpLu+yNDx
JIg6wSxpgQbSn+TXSfazBIPCj2ThAVjpnqrwR/HVZLb1gKOg/WB/nYcbm9EtdTKBp8gImXRtKUP9
+6loKMuWgrHa2gPctTy14bQFfnUq1TwfXFbAG1GPHMYqB4YBkhJleuq1PNzJbDbuiJTrnzKbaWOC
IGzDxkheY2ZY3gUoOMfwKUvjplkOZWaa3wkADVdZhLPnGDWNdcsxWH040q+HjZFAPcEowlGZcBCt
BLikjW6l3qeWwbA1M/ntLMBF1doUSu8Xj+OlOeR8/h6b9ieurKbYepEtHGKoh5S/kV+/BN1UHm28
2isncYFoiQmsl4bfxtql3lZ5Fq2sbERoAOYI217NSOJY4LY6/30TYS2t0B81vksPEbDBJI6K4A8W
rH9ulfoaqSCTp+7gYkVaBG29dxP43UI3A0emXYqwNOLTkGRKriS5ONu8JUVl7urXJK64GCq0uq0z
aMzzsvmCidW9GTJ7ehypcnf/8GZpSP/yZkPLsVEjw6Jlr/DnNxsGYREMhtMeDCC4ywjGv9d4Qdem
hcLV6PmlOf75UdkOWQ8FJMKNybPhoiCn9S0nyI/RMYXH37+pzzbvz9/gkg7hhsubCiBS/9RsJgxT
7ShL2gPj4MZZRxG41xZN72kejWGvVJ9uOA7nrXYcDvu4p2rJJQ1jkC63BmDEO9zFzYVT+qjWY6/+
kFkZnEM/kduoI38mNlSNq6vzjH+Qd/8cPbFIrP0fvz77cDbsP4nllR0V9RJVd0ig9V1AYELUGbRB
BQGkUedyqWZn/JqbgZvytdXkNVYYRgGhdt4/NrP/4s3A0A4ZXtBUg6b4mUTv9WhfSz2qw9TwTCMS
TObbRkR6V+tpMd9DgYxSJ/g+2Ho4ZKTf7AzLfgtzicU6cbaZR7lkeKwmeynqq0HZ7ssgZXVFUnZx
aZrCebVd2BNXhDoidVVpGh5jLE8b0yWXMZu4oQVHCRHsmXeDkFJu1SSoV0voNhSQM3pkaMBuSjXP
rG3c1MsJY7u9cQcM0b83vEB/R4pjeiu7cpkzIkSipXF96t6xLo99zwEG2I6anWaZvoQZoIGadLla
VSI4iT9r9amam3NVNsuZEi1lO87QL5FA5PyJdXSdJRJoimEBOlZ4yvuGGtRi5ICRbXhKZiMBduXZ
5SspOIV/Aa0uGE4LiJIvKWNpZUxtN209EMbmupdOXLL3dFBlqrVnd0brojjsK/upjl2YgM2ScRj4
c5kcC0qaTTwv/0dMQR9vTNYaZCPiMQ4xv1JxX34i/YLSmYAajdT0ylzgimik+cRJFcE25RBOoa1S
ygeTxX5SU+TTTpsHum+OWFY/z1BNWe1XlrduPaNWaxFJ/JCKxi2EZ/NVo2TeqQwfcs/iZ2MWI3cH
sIpuk1Z+/9RlJQLexdQ1WfIlHJFubpTOBprKzL+PijHMUFjw5fPQMe4U6/KjxYMD/gQQgriAdbEO
PXignRfWb5M26jdXW9SGNmyBFUdIsXO6UN3SiWKNZ82LE56m3y+hMlYsxp4JcHGO5sTJ2C29XZUS
7QXPcRjX7lxOAFnLsWdrlwjAIaAd8ipwVtROwVk4Cuii1QPzruz6zWuJrDNdOixp0T2DsJ55AnSk
NDyzqx/pRUqggUEWcJq4nGyQBElSDTs6o9hFB7FG4cs90mKztlaTxT/ssGu819XEtyJmBLB0h5Ah
iOasUp6JjWyYytkjjxzsFzxCUwK0d54OGAAJu/kygmE5WSNjFoBvICksqS5wOEB1xIe9VzxA9xUL
1XUdVsMTxg7a+1Fn+3CZAJEYJK9FwXwowNb6GI7V/B3fCmTULJzlS+GL22EKwH725F2OppfcWPAH
V2JEW2YBk1lX+FfPn+96ciOGWCEaWrWuy+U3cEaQlMutihFnpqCB3ywZlrx6zdTvJoU5YpWbo73t
h4zJyNK8ZvADq006uc3ZrBS/TI03++PzWSwrIvSWWY++LIgcA1ilRuY6js9XtQwlagzEl3Pi6yug
2OHp8zJkYUshkVSNeZh6Q199QiOdVjfnz4lP5XD5iBHfP5kWEUYEumDg39mBZZTAE+yHpz5GzvM5
HjASg6/BbehsGTjy1S+DvDkL9a6QDITGNP2uwllfzdxu/8veeSzHjaXd9lU67vii4sADgzsB0hsm
mSQlkRMESUnw9sA//V1gtZFY8Ut/zXvQFVWhppKZCRx8Zu+1C3+cFkX2MDILc0KmV2JBdkK3hWxM
AUzguENJ1sEjvEVAx3CuwK3qhYPI9uPMOxI4pxjizNyCJczyBy2wgNWEqTD9qlPKNVIjxhkM7oZ1
kXPHhGNuXrTUMu8peABpElUvP7fJwuydjbT+MusGgzIieuu3MGHiIkU7PRYKt3mgNdleWXimUPQ5
1ujog8P7pEZxqC2gWC502Dnmb8o1hj01GOO1Dsx7+z6/eX9gjymz26KEEqMI5ZsQCxghsBW+viyn
WMK9mW7+vDRjRpfVQirFLRJcBfj0U1VqiPVxUp2cVtZfSpUZGrYHZmrwvIvTkOvRpTfotNiptBzu
CkyZMnPL5xF75AoQvYsRl3O2HNDkoMupmzdR6Hwhadqpa0n7tJYW5XmbcE8v13PdLMcwXAl5ZLXK
RNKNbWpePB9QVdp6OsYEdD5Ey9SbGml5CtCgPasOl4Qxd/JrB0fyJVJh/NpdxdioWa6f1KAB4CRC
vs3bYTGX7d/LW8dlQhoit7zmmBI2s8Fj0rJV7eH92aCSiLyITKOLzZHP3IkhKttQML6hQlK5O8D/
rF1KonoCrTw0JPi4OSQvq6QSNmiH/chK1IfK0nHZdHyRLgPi/ZQJnLR6V2C1pojNl++AjWL1JFGa
EUs+E16XD7CGoS32aIIpk6uU+ZwoM+1ByfG+BpxjX0rpAICxsgXczbH/PhLsW4aWjlbB+YWbuUpG
ShDJaQLYUJHAeBxgxeCnKZRamp2cG3vb6jpT0DLjpphEXz6/w5pb1J+f9DigVWgpnHULtJHGcBms
0jtVYzlmRwQecBy4q5vSCD/T1U8VnO186SfkyBSqQQPcMLR5RMkz7xQ2nZNP6j0fpuB4i3ruo9SF
fyysvqLHw15cKSK4jgPzMi2D5rMvDLM+DFXGEHE5KkkR1aCx6elldjTIJywrmXopcq3XLs+HiJEJ
92TDdLpo7elM0rH6wMKt+7Zg07dwZzIPVxM3Lqt/St2srF5l3lBy1LBC9iDnaWKqOLpodvHcQ+6v
/NlW9L0G7nZg9Mln0GYEZhf9UH+hKmET2Y0TfMxMlC51S2fGN4MiOGSHmnKC1GGq2Ql+UN/xhU9O
Op9TjZH6+3++35joannEKGrXvJkDz1TI/8a+mJEdjxqk4DwC91wOJTd0TIUb2iaHTG9yZaPgAJk7
m/F8rqyZjmwA+TXK9DvBIKW1jiQN7Pug2IZbbWh0pmyvc3+CPd6vKm3utgwSeMfD3s6SYdc5xtPc
LCDTZRODsAGyrmnzYhhsnEMbgH94L/r/K+j9jaDXVXX0r/+znhckMXTft/Yf5fd/8ETs8tefQXV/
/vy/lpYocel1XRzBLHv+XE3+y69s/6GqGI9Z3+kQkolX+c/W0vnDJSkZyS8lrmPYFn/0L3OD8weC
IH1JPWVvqWn80d8yN/yl22Sca2CtxUWhW/ryzn/cIk4kqKrkK4hdOsKPCb9noXLhftkzLFgaoR1r
qoMUjK2C7gtkbC/R5W86NPev3TmbW8siQI73rLnv3fsP6DwYWlbl0FXsSmh3N4HxZXKrE4p3nsqc
+lrlibbuVi7hXZ6RBeeqwkNIr0pkgvZkoNmYo1VRKeFZzIoXlw5SLIT7tnqDdB9xp9l7aoXZAQQw
0723pXiIy8jrCvKh0ueEsmL51wn9jUEBJedyG+fSk8p6Mt0deHHa2TC1TrUgC8Ob4Zx1CAelzlwb
EemkF584M1A4qDpoTAeLKhY9TScHFPYsCwC0HMiUHGAqMSIuEs8pEVpd8kgF2dXdEc0OT6RYGiO3
vbPcJ1VX1jK0X2bJb0Dmuedauk/UmJ/XrieiaN2V2apHctV06XVUgoekHhowUfm6b6vnztXENs66
21Dax0QF3BASJJqkfo1TYEuX40ChaAH/FcVbPhpimyaIniYxvBWL2MTq5KmQQHkyUfmVJXkxqslU
Z74ET/6/h8v/Rgeh4hX55ely/Fa03Vs6/eQW+POH/uUWUP+AS4jIwUW5YC1ah38eKI77h2mDN1jM
7DZr7cWo9B8ZBJ2EqwpmD5alEUD0nwPFQjvBQeOaRDVbYvmpv3OgfJQlQFBQ8RyQs4lZ6q+CAc6Y
iBI+CA+9GsDp0tFf3A2gajf6UBANW9vuocdfpAzjvqoN/N2QP1xAPX27Qwbeb/WacCTRUoH/Ri9h
ah+1DI7GmzOFIzQ8Y6r4GM0+SnMyU5LG9nZvVuXFdVNxcWbAKV6iBCbTiA5InGooxjpuCCwIdTTC
VS/9fHS74CsWIPVOwkqom3U12cAIZk6dG3SpbMqNSKpPeYSirsHaQEU7Q3WBBA3tW+CpNB2pMDZu
FWcHOmleGYLdabRSidFBvFcadto8RsQF7UpQxQlCUTOrkSFL/NGshPSco6pwD2AmVXYmU7IeG2zl
6MXAgrmDo99C++0e3RLn5NDUee+5GRh6Wvekfs2nXMAmAiSwGPOrhGVBCVLMSRduMLFqUXZo9TIj
HITgADJycGPcwYoBkhIOSK7I4glCZdvEc3Oow0TddtjP3mIRNRdGNuPKSuSRoLpDVVrywS5isi5c
kEm27Nojg5Eei3OPJ9+ea1yZWDVuarLKoNRHG4VIDbJ9OrW8Kob7JHQ8rUosy5IVRBYtG94KBENn
DmclLJU7NHsIxu1owlcX9+MptOd70YXZpZmIOSXKsYAjPVhquHFSxXhtZM4iq4qkN8LrJ2mIQB7r
Kpy0uvZxofss1PNbs5/tJa2Q3fQZbbzUH5MQ2dvS8F7muV4bU6BtajcbHiYhRq+IUIyNVmVusywv
NpXdkivHHqrzpU7A0YwqcDdiQkZm4TIcmwW5Q6KCKj23g6/WoXXHp14fHStt8MRn4hCquntwVcs5
RKrICDwrRPalgib3UNpl8r0eVHryFAP0fS3jGcOGNp70XthfQzuy2ES19Tqveffw81qf4JtmrcVl
a3l87saGfSFy0SqtopeUyx5+QzP6LVeaN8twuAq7H25c3AlHc5Ddmm7d3RrMcNeIisBHDLHOG2r1
a9TmRNmJWWNWEEdc0iDZgg19mJxwPhvWF9gahs96R/ECx+3WJq32ixYmkZ/jZ/62cADPNaLxFVSD
Zod+nTKdNtJ6kto0Y8qwI3Wv9VbSYIjWp8if26Vl6UsNnJVtSnzmWp3bmm+60Jk9ZGHTKguzcPYs
GSgP5iix5hhK1pKQ0KhHFxi9yROVGUBvo7r0GEdEJx7gBRllA58eofGzb/QJE/4+2mSTZpJZ5QTG
G8LJwYJwMjQP81CxUALlz8c31+ny2A42eukGC8BhubtYyiNwzIyg3/ZWprNIbiHC2hCvza2dltae
eIhHNxrmV7ufYesP0ti7YCkhGsAKXVWqUt5wEg5PoLmcxqsciylBHs4ALdK4SVE+DsUwYRho7OeC
AK9uRUcOhrKEitPf6Cwz96NKq+bljJ5QTPZtlJ+m0sYDTy/T78vQKqGcc4iQChk4Gd6g0oL5Hofa
RWbGcGc14MsgMkb9iCdCZheDG2M70ESx9IV7pmwaqeISqRrwdxbHwRGSSAYWM8jyT8Ty1RCi9JZ5
Jxy9c1AP9UkBPydXtl4LUnuS8sEuNSVbqV1srETJn1tcowQrq1N06GezOQ9aFN3G2pA+VjjuH5hJ
qsjfoZDk1UA4bVVy+JoyTd+SsFUKD4UJZghFb6xbGU+Z8gVz2IwThA3mVdMZeq5tkYd8KUQsNRtD
5O63hrH+YcrV4Sl0QAb0k9pf1bavd7AmVjPbMUK2ujLaCS2hzabOM46RC9zXHvrmHu/4nHiBakV3
lM7a55Id5tWexlzdyUaGt4ZhVLR5AOczX7Mj+VxOomAshfLeBNoMSywAWP8S1S6OYBMF4Lkle6pE
fDYwk8DPgbErnVoWOmOrpCuzxzXBXA4iO+e7ewX8MGxq25LPwEl4iRANzglXg75JJh2Ye6qN63ow
sboo1bhPyNL9gnJf5R9cdJzz3OQpzEZKO+D5XrcQY12Ra+iZzdo+scl1Q8+eNNDvQqr1wR2HGJ8B
ZfaxdSzr/WvbKU50zEWjUCvrvMletdcyst4SXQyrwTEqIGyj/inGz7NPGB7cunqk8qr5m1ZL1CKu
SeE4KtWJoAmOHBMow+QEaKjIMiEpwQMVA/dRzZWVIwiJqSojuZnM0t4apVLxA/OoXQpudEwXsTPc
YPoTvoZRakWKDka0hn8QL68844St7xpNH4/MIaC2MCMrntii92+9zv47Za+1anApbJe65DVT0vKN
q9Skqmb9wtGR2L2znoiLPaHG6yMQEXpz1J16ZCSqRzY0VYlhcd1NCn66IW9cfTM14G5XGCvEJytp
24J1fZ2+MpRGVTC5Ba6L0AhhUCdSwcrdZm0+eihkhpdCOhiIKjYNit8B8HwiFij9RAnH1xW9KEbS
XxQSuK6TsO7TMTC3SZLDj2PuaM/ANSP9LOPBaj02XtolSMkCo8Qqn6cyaDdtp+SrshV8X7BzCTkh
Dah41jEL8XfG/VeNTg9xGsN0HqJNfnZqqZ4kxxl3kZxIqoAv2hMwI2i4MqeFXmnbWvpCCMCTVFTA
tJOKYx1cc3VInECxPe46xfB0rG6Rj6AHxqWCj/s6RPggy8URaVh4I8d3m+Si+AfQuLgnOymvobsk
c5iOeY7MMlqNJbfYKdYs1Vy5aAEWoHeMRcnMDRDdC5M3SHBs4s+qXx23rnpSexT3QDb2sBSYptbQ
KuH5nN7tn83iBHXeTaHu4g9t362i7Bsx2Y0wb2rPThI2RuqMin54N5k274ZTypOG5cNiQ8WcjyUV
dTyer3ejqng3rbqLf7VPcN1jVYqLescK3xhX6OaigEcrkUFemenOPUsSY1W+W2ONxSXroHFDW+Pq
1dYprSw5N9GUjj5He36TYD3/xJayvqoMiJ5rAJLb0iK8DHZOiqNEDRZ7gV0X21qyrfOVMBcgQ8C6
ID+yo452tVJvNaxE+cGpYhcbol19dwtWfqQnhGJPvncm/AJomCf1DrTt2AF3bY+WM2ml9d+2jn4s
bqffzIxUAxTKr4ZG+68vUflTT/fnT/yzp1NVFXE7GABDNagVkVr/u6tjRvSHpjOhoX+zALH9u6cz
XDAXAoE23CFq2HfX+D+HRAYtoot6gIwn3DgmE6a/09MxcPp5SiSWvwF9O2Ms8HmqvnSwP06JUjWo
mTUG1g2RG8oeTcRYHwvimwgGdNSJXC1v1PJUh6POLCy7Zz9luq+qZn+LiHO/p73RTV8t9QemQOPn
1FbiI/qwkegNzUETUxUWyjgMJS7GW3DG7ZXkoxDvRzgM9aNgG694BTQrPT+mbiy3wKkBddka2C+m
uJmz4Rgt9nkwkW3LSsDPJzVcFXlmrKiXzE0U06auE7e7Syu3xZsmhgDkTcWQqdPa7WT19UFzm+Hr
rKIfzVugxa4UT9nAw0hUrNqaPBU+2F5rz47gRW8SBOWkWMLPtgE0HOcJeTx1vrHhi1JuMHgG48q2
+02EBrsJ/MZFgd34dtWpeb8xZQbBUouH5KJEkfa5n8YTNK1qpbKfR0UWieskF9h3VxcrwrY/Z0gE
H0dznC4j63mcli5LWMda92LyA73P74xEqXdG12g3TZ43+w7Ovi+SOD5xdA17FtLx2VWyF9YyJq5K
nrUmgX3HOk/dbVYq/atM7WA/Baa+SQsVwx/4ivWcOOo3HSlfjeiuKXeuFn9jvd/QbsbjF1Nlx+mF
cYKYF76FX+eZ88zDmcINDBufTfk5j/PP8MHic1FXRDdHQ08ovWKuYRqXayONbd+scH17NkLsZQXb
myoUKje/t+fRoIMRUbVfrsjHupfWhqgugoZwxsE10bo69iLbbvnte3uF0LKHCkU828S2ABOPZ6Vq
eDWw+d1Ok5wvAU8kP5qN+hTpGrCCWIwmr6KzACSCegvYgGRf9NDxPcr87GSSE3yKJks/ay6cdAt/
0S1NdbMppBzfWsfIkN4ITNxdqnDOkuOLdHAw1G1uJ8MJuSk7LLOQpzZwSKsYrSH8iq5LgTpFZFqk
kjqBVKyyjyogfRqC1hY3yOCFZzUuq48GISfSFKtHg+7I7pMOUWtAJDZphG+mNRhUgSFMC6MeJSeb
41TJEWyWueYe+xwvs9dWqBt8YMXNxqXfiWt+Kbu2qoOcJ/mIHZ8qtU+16HtJLMXacTKXpTXzzcZU
vlozukuUmAm6PrZV5BsqA89Mlvm+Tuzmxk6E+5kxQerhRz9WAXkeuUOiVBaa4rWHbrXRwNK/8VCc
D/OY9yit+sjagsUzvUZthy+oHvVbJQ1sRMFOsOlaIi1x6Q/TEYGs0foOeK4D7THOwDzAlQbFbr61
TaNczzVmPMsaC+TpOsG6JEtd0X6aWwe9wcK4KokKLiIMcLC5PNsN4yPYMMKH6ZAQVri8JatkMudp
mctAxx5wUDf9BIWhT7ZjG0zreHDmx36sR4/NkbqJmCOtInfiK2mN4Bw5IPAsNLVq4DQPPJitq6t3
u6bQ58vQ4WsuR/tAjRozS8q0cY+NFG41S7JbksSVtYotnBqwcqb7VGbVOZe99qDhH3yOhVqvFAsu
fTc0w96Z4ijYF3BU78ek1nwXGjZyE3EGqbwWRTnchUbdnKaEQQ6Hp7iRmDzRQhRYB3Na9p5V7irU
B4G4U/1Ks2HdVEZd7BEla/tcdnS4qsx9QuTYzfElb1G6R6sgrh4UKEGEaWt6ew8/fPqWi4rVmmJP
OzQsCGWnOmfQoFKM4bLCDx2b6daG9bOKAw5yoc3tMY668bHIhAHIrQh9y+mtsxgLhcwSDiI3ZNkZ
kMb4pJci2k0YuZexAU2h0U4KxbJpPfEQZJvpuljvklqBuRjp/mQZ3fckoGU2zLi8ytpSyWXMWbLX
4iWc83CN+4QWnOp96/RSafwKwfET1o321OTZlYkSjgLXKpjzNNWRwVh7OxcArgdESrdCpWSSUYPs
uGU0sDZCq9nmBpB0WgpnJVOnX3V2ZHwLl9ACDE5vHQWpn3JmZl6QUoA2dDKnSDFq9Ivm8BkPY+wb
ajVfLWdwV8zWrKeOBnSD4I++03SQc8TpeC6iTuHAColnZKH4nGZ4JB27jm/UoCi2syjVl4GOlgiR
+REyNrOHYdJ2Zm8BXhWMK+/jWB1XlZidPTyk6yzUPdWDwJCgq9YaYwlfMKYbd2XH/d1QpeFnZTQZ
B3RsNyariG4TCE+Fp9Th8EmEKGRctrAHWuUKUkkauDvOTdIPW3GS7Fev89zddvBegZGK7MjkMfVN
rr2HhGXykrbscUugX3BVFDNzGO2h7V1Thh2YSpqSpYcehD755w7AJqtjx91ma6rR3BdOcGIOmFLz
ym6/pH6QdkBe5lCR3ckNhfw2J3A1bOEJsohnouYE+Sk0G47vIRhekGpUW0TB1nHupf2m2lnG7K9S
bhAY3TE5Ne/Ja38UkyFvUnT/ML0RpjfMuLZOZ3fr2rT7R5lH3cG08pdkTtp9lNjhpk7jctvDWN91
kGSgpiihPMQgylmuh8YVh0t5O9doMenqzR67+x3ZoNoTSa7DiaRC+khSS/rPKlLiXTb35imv4uSg
xeam1JPaF0yFCTP4NCqD4QkC0NfMJAOPBXr2gJGg2natU18qh6HIKCuSsOvgm0P+jU84SbR1YLYS
WySznSyz+RQxRT9WZhp+6V2E2bbsSyRCBHHiiJy/m3X2EOVF4WtpYt+nAb9Cq6atz+9HEmKin3tO
1XUVqc+BRKeRlwZJylUJbQetD0zBEx4Z4zGrU7J/CBxeG0rTbzEHu+iM0uC56aZxa2BbeR6VAjq7
27mA87V+bw8Q+TD/Pw8q5wrTB3UTQmFPFyB61tHtdqBbmgmJqw2W4eC6k2enYYaz42iXlkFsAt6P
GyND1R85goBJYWePiWIV9xRV6bGoHR71pgrrGz2Mk1xK/DVb1w6rG2YGm9xaeq1RMGjSCe0rRlPZ
RokBFCPSwpONjAB4YdLtQoDo6BPIAL8lq2HcR0ZGoojTNaspSdCuGMMzg7AENEFjMiAb1PlSoa33
UxPrSTk3xcZ0hvGlc5iyoSYkQDlIUcpgNAvrwrOI9lmZ5Ty+FWlUPVtITwRl7ksegsTlF/med3m9
SUDwl/5UKM1+ksJhbpoqOyQSqeXbNWBDTzXS4lyNGlFDqWGRbp3Xka8Y4VdCZTXCD2cYPrlFx4hV
i2SiNLlQ9/q08tkGBAaisaDiCToE6mHmHCDCg2ozAjuB8EsR3xEcmx78RVwNLYk9pdWGa3WJ7qP0
aNYyS+9MYtd1T8IDZqQvl1Qrjdg9vupn5HrhDq1msLaLrgJyOsn00AAI8onjkasaSwH2ezuwv9SR
aNyN2tmmF8/izkbupXmQcpMbdWjVt7Gys8s80t+KHjuLHqTaJihmhGT3zhiAtyGZ14nKt7jLe4K9
8iIDQ2yPUZoah8AEp3nER+GWD8PU86mRUjkqCnCFgkrZQ8GlzowfMtXu/YIsQQz1AOsA94VA49og
gXBJmNm3ihTxr4PLb0iNYH7hZ7CEEWqOT7Sv0IQGoDXU3sE8IRFZdr1Tn+uK/3cpkbrr3Hk4q5oN
r6icU2bHqy6ctC1SbbB7YTUWX5tAqOcyHp09C7qZO5hm7sburIeZvHEgBab11cgqGXgz6LpjwCB9
bc5uc23yWvcSK28OCl6rO4FKboWfZMLVGg3dzsjwK3EaIGGpCXYpDUoYbZA5PNM43VlNZqwJKdWO
opDEpIqGEsAU+hr+1Qi+asp1z1Z4PZFW5eMY98ZnSR4m9J+4IntFqormIQOFhMwndx10FHdx1k5P
gxlcwgSFsicyd7wnHypc9UkI9gsmlDhPVahhH5Vy1egZawiGPVZHMGblXByewuyixroDzwMFy5NV
kR/GPEkeQidrnxg9WfRMsr+Zijm8z81Zbpzlww6Q2mzZk9N9mThIbpSgHxrSQccefEEl9lMi6/sg
yEW7YsMPNIPMqH0qm+LahmA7QhaLn5qoUb+oFfL0ogw/BbktToZGDCizcIFOWKtIFy9cIAaM546Q
tat7QKVy0fhWhX0mlZTlWFS/sFpAnlfNI6ICJRKz7wyCx348hyw0BeGglzSbss+JIKHJSYZg67Cb
Df2pU7UtrVD7SDbB8LVXMJlCzgnJ5QyrFb9RsUmahJtwRA4LzaqFoEzrQa1TxzXImcgcXmeqPip+
BfVkU47TbY1fAAEE0/lrExIMLeqZkCzivBEoOoq6xovs7gekdbjq5uRkRn28z3XXviG4lgYWruTK
Espr5pTzYwT5wvSQ0/PmIBCVa2Gm02dkbUhz1X4Q/pzY80WZSgJ0uirYtlqfXZl3osydua6amRQh
2FDhIdBSUmaofH0ILuWuSAKVnGf2hPSfSyGrms0JbxUxtoVY4ltn5nx4FBH7yjjJETC2g5NfVGBM
Otwii2asBpCGG6KUkeN3kSWB3zASmb8qxBAN7BwJPrIigNBx0SvTZxi61cgeR8F1AEyWhre97YQE
YbbuOpwilefqzTgc+Ugax9mU75hH/U/m4/9FHCgjg6SsGxBjW0ad9QP7vvHTD+Of2z+9E/8ouvy2
hHIk/9//+WhKYQ1tYqXETkFVxnRnWdb/OFOp6nFIMl0dbhDHmSvF1SJyPXq+EYyQiG+C8FnLdfgh
2kFPzQ1wy40ZqWvHRgHTzWtZtmve6tadk1WKHuzXvxxDpeoHu8efv5vFJh9pCRYUbVny/yDJydW+
LkSgDTdgrm7silox2KEx//svglrBgGGAS+MvWFUzaUeaXraQsSa85X8WFDJA4pv3l/mvjO13I0lX
c345kjyVHUGJL8XLT2PJP3/qX1ITxGaoOdBlQZh4V5v8eyzpQuldvjquX6Rbi7Lt34NJXf8DcYXG
qM8BdeBqCy7yn4NJjb/Qpc8GKQFEiW2t+ncGk/oHsQlTUwhXzExNjF3YSD5ep/HUDB3BVc3eZJbu
rJJEUa8Coj15Q3G1KevEoSiqbPEqFTt4sCOXEisvgoPSxChyWUmS8Werp1JYxTY1FtdED1zbc5AQ
PDhVzkIzQu65LkXr+iroXIT7SvctaTSg6wjaPxla3a6r3Impd/LgDE+dhyq5fj3+GQwnwBqaYdvm
yrxjNWLdd0U3/uYmWk6JH+5UPgHcWGj3+BgWTMfHUyRZXKMlHqA92+/x1iJwbssa1fW1tl3eF7/3
37pp31/PBfFsIFd0bCgSP58MGnL3MUzTaj8oje6NYfbKHhaUQ8Bn8OtX+jBzXl4JsxQCSWa0LlDm
D+fj3FG1sXDM9sRYy5XGRonlNmU84834niLR2E7gdK+/ftEPB9/7i4JiRcLExYRRa/nzHw6+ROBW
zFmI7zuLFY2nLGhJ8BU2lObRZE74918Nv7sFwRWAC7jWn18tdJ0hLvKEiYAYzPRcNPm84UxUh0uX
uQ+/fi11mdF/uFKoXXkRWwfjCrX25xcbaa4iBtnxvo7GTPf1CHkRNpu8XDmNiuifKfalQ2F0GmRK
0kVmt9WaoFL5t98zjz2HyapApAZ358PXCkXWngjXTvZ1B15/xe5RErkZBA+uBSDwNy/212vIFCTH
aOjRkNHi6f/5PTdod/S2sRKQa/N8VzqNXLUKdzDgMOIiJhmDo7YLcgp/87p/vYywy5BRhHbHQqUn
Pjw/0zAhWd4inLwY6h6dAN/moHfD4BUxc4xff7EfXssgkZXn5yLt4+tVhfHhtYxYGdQ+cuN9jMRo
VY94gLxKNNMxJA3x8dev9eG8fX8tk6m/AcwJcxZg9Z9vj7xFNsE6GdLBPKirkgXmIYv1Xl39+nU+
KvWW94Qm2HEtDhkuV+3n1+msTDZWOcYMhOAQsGBF4uAZUwHLv4fpE8Vx3npj0zJ3mukmCM7Mw+g3
ntcP187yXtUFO8T9aRMv8fHaQS+SxjV5oPuglyGaHfJPvcV9eA70KT+UoYPCxtKn35zn7x/hD7fp
8rKabfDGddyqGnDnn996jxW7nAObch0M6eeGvu9g6cYEzqSIto1ekSraKuUIxHEaQ9sPhm7q94NV
jF8p2/HtVKRCH8i4DXahIFYoYBJ9COZE+Z2n+sODZ/k9Tb4YErUWpbr4mJuUmnow4LxQdgLL+usE
t6Nh7ZCh/Agya7B2sBLR702JYgMeLof0TGNPwa8T5Lfv0tI4uq0b7EdMrjek80iAFn1UJnBnXLvf
/vpq+utV60DI0tm2mVQk4MN+/kiFS1Ad/Ef6HleQmpguDhvkFPJ3YVl/vROpZPnKEEY4/PPjszFW
ND4URcZ77CDznRvP+OaKtDSxSBnm/a/f08fjnM/fETiaNZ6OJvLdjyvZyZGmNMaE45xQzVXoBP1K
wPPxM26VDRTn0K9GFivg+O0n/EjhFpVF+5sPVhXmcif+fLk6mAZs4ZoUBfw6H54qWVMpGndGsLPZ
X0w4VTQO09Yd9Wof4uy6U3RLvJpRQHPM7KbxJhIIQv49bRgz58I8vmMHXDBft23vah1DNFI9/Jol
KSP4NJ/PWSQDiEC1dp0zPfjej132yZkymFQZLZzn1jiT7XpMD1rumMe+ERy4Mh+0K2GY1j2WP7GD
vKOeIgiJpHtDBmPXMcx3UxjonZehgbvgL2pfsmASr7NCGSeVCt2OOxYBbmfFrA5FXuczK+gq2M1g
ZyXqzahjxGs3S41QgmLFs0QATAT89I2eUH8cdL0imm1hg/n4rIzvWd8aOMbYXkX05Ul0DnXubMPk
aFGbPn7tIg5vghXM74hdHY1tDmUjChHBehXTatgxubSM7WAIiiESTeVXx6bFL5LafnLwADjXUk24
3rj7Q3KHiN5BvFgRSOlokrNTyM5+munuiXdww7O9/KxEe3MOJ5Ohbh0PcvDsOFMe3FKfzjxnsk91
PQ2X9483sIYW224k7irs/SmDT3Jn9gHMLP2gQR0+p4AqGabPERAF+/20An98bNqZE8pRRwVSTcoV
WQpM0f47tKOLwXnAfSDQzW+EiB6YIRufu0awKtVCUdwunFJSlAz+niGKo7PVwoaWtR2/NsJl+xw0
zRTS/i6cFqwt5j0xdfoj7txG8xSNzzbXtfg1w3aOu7A0XlC+kTbLTUM8TBDn8505oL3z25S0dRB3
Ixk9BvELtqHGz4TwcDQhBwB5LUAn68t1mC8UeadLBuY4kdNCShlVChg1xyRB3i3XEhC2+RwOE5KG
gNZr8lrZz3e5qaBlX6jCqy6CqeEnvAGEqQkIHJ+kIcYhMqpeomFxwIwOVy/ZpZjygmgsdx0rtRvL
LJUHK0r5wERoTOdQyZJD6mRrd0Y7ODbGeCFJt94AWVZByrPXrSXACMzdzV3YRvFeOE1xRM+9pIJn
8crSJFwXvZgPXS2sHdSM4CFs7XVpIFmsrSI9T7yaD83TvuSzvU3jmTzRxZ4n4kR/chxuOzZwW1FO
Lcp0YluFMs7oIDXNVy2Sgt0RjDtAWMaGfKraJ2hBJIgU0yFR3U0U1fpm6KKSjZOOAFzpsLARYuah
IkgORCY1PmPdDCjtopNYctlb03hqkMGfwzy+NCPjTlb+46qfHAOMmkZ8cB0/WuSXEYVbaccM0pzo
Uly+bTFsU5fY5nRWYYTOwsJGRMhw7EZXGU2vcFVfsALLdUIa+YpFI8JnZHA4cJ0vNfpi4lH1KsOR
R/wXbHLtGXLYYQYyQSBBfBNZcBIYyD/0fXAsCzv80lZwViNjGg9RlnMAG0uNlGvTjRXr+rmdZX2n
xpk8KD2bo3m2TqldL2QxI4do7rKvq7VQfqsZxe4mtURYUAR9AIA81JODWhpLSJsS2qfOzPiFygwl
kddP2vxozoYOGXGharU9UoBWVesLhZIRrQZr0fLbInuEnxM+oqIc7qfSpH4oJdINr+qxWwPE0ReS
7f9n70yW40ayLPpFKIMDcAd8GzMjOIvioA2MokTM84yv74OoTGuJylZ21ro23VVWmUQAcPjw3r3n
ujsnQf4SZ1FNzrCiHULaHxdlF31VB+a9J4fh3h2maWvPXQdBiTSSFXJaOv1RWWW3DaErSHBoOV3g
omArYCVQveuJvUjioZ9PctWsFQoGpqJ8QCXpsyK4gXYPZczRp2P8bTK2eTs9m8jvhh6VaV1a2Q1W
60c3nWm/o/2/doigA5YNuwNaHa7heIfNIqPhj3s2jxN5a3Zjs1NuF2DfDoaT3Y2bFirQMaZV364s
+rJf7Hik0i5ziM/rnnnyItd1eLQr9u1Uz0E3z33GwIzZO3BESI27FMTYNptqCsdoikyQBy+dk3vv
rTMSg6ZyQUM/k+7TOMx63psyMij3DuOSUcF+DMHUoZxnfT0alSKFAPE8cXAkL7aVS69n0Ac9Cqtd
AUOov5fwTLflEE/HqiV0iOTsK02uTwroT1wibSXZK1jwZG6q71K/wtwK9NLm8B+HDmWKWjwYhCaD
mUs1nEpXfxolgG8W4bRdIZdx3sbZbO7c1qBqUOXNxisoLmNfRLMc59iD/UDuB5dinPJaet7AqT8n
U1PcBm1jrzJfxBc+2oQrnmC0scFyVb0v9r2UDGydXynKB2s/09ZtUKXygODYvtQBqcV1iRbMl5XY
ZN5Q7FNzLndQG73XbiEtM9FU677Bd7D22qKmoUxfBwNyjh88H1CrkwIP5dgEL9eZXnFjznSdMEoW
agVfL863U2IUDp67Pt2nSe6+SJLLH7i14DQawC4o4S+2bkNP31uO45cguLu7FjojzelS4/LBYsOa
7ugBq37Ry2tO7Es+NwEHwDCKYyqmlq+LgKEhztLbUsn2xmvG8WBXTahxK3uHbJzri8FD8ID3yTsV
AOuvsKN7eyzi2dcli5nGfKmrJycgCFOpOHnXMqNlUrq4REiCoJaEGulx8QPjzh63dVWgaNZypiXW
+HP/aqKSHpgEGkR45ZIA7glS1SsS7DdAf7oTPV0C3wsMQrKLtklmvQ1g8DYRxXqYcBrjYR4Ei+m6
K766Iu+R6cQIsDVrIJrQeT/Jyd/gBWhvhdk3X+M6Yc6uUlYNJoE6Cdp179CTlJ9buBtu80af1qOB
7eRj+B4aU0XTsUkxTDptzjGpNd4rYquuRmKgrqNBdp+JgOi/OnXkvQSdBhie5yjTyKKYPbS4cspS
N1tTEckPhnKmIxYQ4lky1T8Bg4uuzSRDKuP1qVjF1WKmgKu6ZheFB8uaXGzfgIlsGFlw6dPR5le1
48HJY/PKGaJ0kyYDawbq+gkqRdcpGCxJEXYrhCbjQfhDC1EuK7sNDMiC6Wyi9eTZsYXiSlrdhdQj
y4igOsS4RCi8DprZeIhSbe7gC/HeWBSwvpftEThH91ZyNloE28QlItB6r2ov+uLDPYHszhbnKnRL
C+kbhpyDMm3/cZKW/WpYpfFu4Ua7hFUbPMh8jtFM8mdHZ9SfBdHgi3u9/uKXTsR20tRrTEGf2RgT
le0rCFZJda9sIuMXGPrM9ApujEGVPZoyNxEZGPduPxLW5ebzGvnVzsEDgd6MoA4nMbPVyOYE1SJJ
9yKHM+dxxl7ltlOs9Rh9TVIrzNcG52QiYNqCpXJp+xrWrlPDd7IS9J6zPChFdMy7RHjummyqo9Vk
qD6jXqwy2e08qPlr6VnGxvUZzmY8itMkM7p04nUu+cMhNvY9bM9kRUBYunfaaPxUKaRGFnCHqzjv
340S5XM1oxpUfW8dIwq724Zq1jECLX3QJuUBMLsT33Pd7cuwNb8mrdArzvisOmyEjk5XONtGRxWh
qW1zabZjfJmIcZ8gqyA9MhzXHKrVph3GmwGnJEESozrImm47RFuPo0lJ34u8eYut4O0oGmwjaVzu
YG58b2uIIqVRzHuhIow5lf5ST0a2q6eSlMGS2sEcmBfx0BB3ZLxGytkVfjixT9HXedYQbV+9DNl8
0yX+sS3U57L2r5hyKRilEVLten6Pq+BRaH3vWvm+ZDdNDA2aTjNaEjYpUrotgltpNmsQAZilDSE/
F4uQ0yysr6MWbKyMgEk+tEg0ryHjWuYu7kpMUe6w6gL1lvVoSqyMqvZKwobdBkPXPc32/Ebw84Wi
m4gdJQX5OOkpeDLhvNGfrL2EUMwS6A9EUfJ07L2Yt30VPcM6JvugDS8l8l2v7/AqVhrgQfTJtYPw
4EL0X9dV3z0bVu1tRxqih54zzGXX1aDgEb7xmU/mUdqR+6waJ0fjXinEWOFQX0SVojw6xMtxgpj2
EfaCYAuNbcoh+ELNlyR5GPUuzMZ7SfDQN1Mh6D8aZUpBB5RF45l7q7cG+4QhB/HmCgrEeJta9fL3
rCqJXyeKzgOFC+yrF0HWMqLdIcGRQlXTQSpgEoS1Q/aAeDNhP3Rw7c41rkH7oMskEjYm0URTNFXk
t10CqSGmuLPIeA0S/73xFR8gV6XFIBGM1GxFOEhtLK/gWBQw7DuCLX3if4KlpzEVnf/SBRwQfAM2
CwEG8hRH83hdscY9epU/XRlI4tZWREu1nSplXseGjPptqyeOHZ3LtDQ0sU2Y6nI6QV/cf49na7iJ
Fem/pgAVJII6OYbJ4L8EmUGRO0C0fi8aSaaorDmJYAoxvyLeU/KqDQGErmzdAggJZdk8VQh3N15q
KHNfCru+YG/Pn0agY2zDggM6jhFcv64Az2NiWvmi4CxtoprtH/Se8lbW8zoRPSGv+Plx/RX1hZU0
LKSNDfo5lAB0Gg75qLSoESydmvP1+tLBmY+ZDa6ZTc8G2dzedJ3s+fyPoPW07k3Fsb9wY713pZwP
BBOUr6CqOYONtUWVwLOHm2Fm22Nw2KTXMwPY0wkPE1GTRKncVrtzoRgxMW2UEUBZl1A3TrOopE0Z
hRoNAj8xC4fkSHZSvlegy56KqOUGopi/yDwy3zUUXm5llIrnrDN563li8puHsb6oZT7eJiP73Rnp
wGFOOvBf5QSKdzS5L7KL/YdScuyr+rAs1nKKqz1bNc72XZe69aZPlhzkaKYqQvGSyQBRAXppopkK
p5fVReKbWcb4B4dwqQvYzhT/or2ZxFQUvfmk67qhm5/qlpJMhX9olQdzsWuTYSAIltDxa4ls9FTE
gHObWVK88ufkeB53cKFBsUHzYftPHBShYfNdSJ4yxyTkNvy+sPTfDfwsFEU4Zt2l3fJM0o4um+C/
8q5GUgx7HhtFyrNG8goOWr4vllJc0+XzlUsg0s2cDt6mKCDWKYcR0Domf1v3yx9MY/UpsLRB6hmZ
2sBhqOe7UNLG3DWfM5N/BVNUfeHmy/9atDwtoUYGLFTI6arnD23xnGqJMMkwn0PUpjTPW3TwUcO4
Dw221wJtGF/kcuBH+uK/z8KhqAT2aG/P/FFStIpXSolE0LKc959b6FiXWkCR7AHfvUKCGwl1Cvl0
yMbmZdodvckBTrpfiuI1cZsW+OZo2Kup6VMTI1Pqi3sOB9xhjmt9kcgQFL32sFPtdR5Zl5xb6qeW
2OholSHDOXYFj6lvCut+SNqYnRY/3GqS8Fs2Z+UrQTJceuya/ohIx79oKbkS8wVX6HUmKSUwqci1
Ff+erpFMMfl+7WQDAEkg7Czb8i2HWwjKyff2TQ+B3Wx5O23r87GPfIF+N2kqFrnet3XfboNCTVc2
JfCrMuv9l3rAXr+e1SxOAMbETW6TuU5GMb+85eQjNznT4d60JcUP2qLeRi6jYCgpzclSUlKQROys
Ew+/8WrQHaPEnc2vgRmXr7QiDbKqwpJvuqglcfKcTjElMz9qhycVkMHyMHMgeHf9khvW7TIGaxO9
HfIr/4jvFZCYZ08QjtyF9eq5HPs8FfbfPcU5GVWYGJ8btFnEDHt0oRo25DWl1DLYhmwrWBnBh16K
ps+vw6HtHmD9et/K3vHfo2IEaCDJo8IFwMoECb3a4YhBnaVzRkCvK/8lVhIEYlOTOEWYPAVuyOtR
MW3PJeH/Ch3+RugA1WERH/zfwJ6rqEF+UEc/6hz++Jf+1DlgpcIv5bCB/YmooeW/wMV+9F2Z/6K1
ByrDcr0lUGS5+B/yBlthyaIFsPT+TM+G+vNP5A3S/tCDoqPnWoCBJN1L27Xlx45CLVRcLfFjR5wZ
qOjSlO5Qi2fVt6ZVqZz+xQwy99qQsrinnppfU0gwSHzKTOhauou3hHWan+I2IQO+JqbnhrplnKCz
IRdKu/Ueqbp9bPOOHTp6iWojvdGzwWFrZ9GxDi6hazI89TihLpF7CndVWOllifb7loRIb5+ZOtz7
qDv3xBFi32APARWWqvt+jsL6InFsddU1nChnGvnG2u4m3FfZAEiT9InhC2eEifKlizLchiO8jw2L
fSBM8/viDAahsTledGzik7l4dZPUu0KG6turevTaLZrnACWsGneJP6qbwR89ZKtKY3VcCKQXiI6d
Q1JbxttQ1NW7uzgjMcR6FwU1p+/BaPkV3MpS3EZh2S18tfreaRxKRNTKmJ2TmGMix7/vsVmYuKZj
sPEpxW+InoG6pj6NZq+cjbf87NQU8PeujRmfxRRVqLDHCtytpfZJ6PWfw7JtP2ndAh4iY6T+SkJB
8FwbCTb/TjqUjlRApW/O9cxEnV8ALyNh1VqSh0KpE9LMlkyi6hxPZDnDk2KZ4CHn6VdOBu1BL6FG
Yok3mpego8gkqnEO5DGp2/JYL1FIpF0ge5Vus3NJsrA2tYomUEh4axBPLjlKOloilXhKHX9tCVqy
Gjs9TcKldFdkihtdYpmaJaEJ14cBb5vUprHy04cid8KnpI0oFg95aVsEwRYFB3YZiw0WBWSUIdsv
LFeMvYuqJiyqO+dGdecMKQz5/i5cmmRpMHFyGZa0qXS2F30njvT36BxHVRJWyOKYNhin4zC/jRTi
VKea3MugRocIBZQqce1lV2VrxJfWOfmKcjJS9uKciCWXcCz/nJOlu8D5iuzOoeBcSrUniZt/qjSz
w1zSqdj0LhQkAJ/ies6kvgt8cBSYnBHHU+QCz7JRtbzmzN+/QTVNLsyaUK8hXvK9+iXqy1lCv+Z5
yf+KlygwvYSCkV1BPph/zgrTS2xYNdCLWYVLmFgPwsHf4qcSL61O/XwNZLMjZC2vODuamH9KUBoJ
qwYBYVM73TdQNr0DfNyBYhpq50NkEVWozxlnbOTIO+t8YT9CCCFg3AydryDJTdxqDoN27dYzgWlB
7n2JXdO9QuJLntq4RKvN55S16Zy45pzT18oliM1bItnkEs5WR85Xw8SUpcravhKdmr7LsibNrRGi
yLe+5+fPcbDkvaXn7Ld8iYHDDk2BB957eYGrq91k58S4VhIeF1pjuynb+k40VA1WxBK023qJm0PM
5CBMJoIuW8Lo5p5YutEpo40TQhaZhxbMdSEwWpmNu57PmXb1Em9XYIKKyeIm9I5yl7nvoZncW0Ag
98U5HQ/RMEl5jlubL9YSnzc7TKa9ZdKM0ed8PbQu6UUw2dV1cs7fownW3lO0gQqGxCF+golPVl8l
KBoymRHh55/T/DyDYL/encj4c5a4v8rUJP/JJQTQWeIAi3MyYLOEBE5LXGCczCBSi3OKoF4CBWEs
VF/UQMhgtcQNTk4urlCSk0HYnvMIbTlhIMVQUt2ERKViN7HKbKPCwb8ILYNEQ2GWn4KkKTdeoocT
7ItonaVJtVG5e3TKiVCgPE/vNF6RTY84+yIG67MthFPtRzN7CHLZ7Ylv8skTJouFHUpUu3R0pnyt
254oNXOcv812P4IXE5jfChw7VBRCpPupiediBD7adycnpWkEA6kmRvUJhUSaHybX4cTz7E2JAj0T
4klqW7jpUxPf+CN2XgsU0I1AGb2jy1bfK+Jv7pVwg1umxXGPpHm+6DEmSSfP7ys4r/edaHxrRf/J
fxwgsoK3J/R9lbv5cAyJOHj0cgUwphn4rLyozJcWQHaL0KvaNdDxqUsmzrUOsmZd9MQUxbIOkCqz
2q3HbIquO0t3uwr7VbyxmwxTvjb5uSohgJR6Jg8mNUo+dYSyK1E30OAEP3+GVXrFxs6nFDK3/ifH
q9VFHCXDQ9AZHvbl3g+/27Mx3eRG0GUc4qricjIn/xpSU/lpZoxTYEjNtzKq5othqiVOxAqor1/N
X+hqAOSbK6SDgUinXewAvBhFS5e1pc2TIA3HmBaJ+WS1s3tBhxR83xDfVmlXr2Rl2Td+gexghYoF
riTJfwVZjlf1WAQFJFqHZBmvo6I/u4R68Twf0JJzkInn+sB04e5jAK83CTFD9tayBnmX6jnEbgKg
NcKzZKBKHymJSLMlt2J2pzv8mMNeT1pf9KJrHmu/gHksZH/ge1LTKu8KEjJLBPW8Iiihq3mazE3L
UWuAzKSru8E2s4hgB5uEHe0KchUiUK5V6lARoyM/u3q8wKdMTbJElQwE9M0sIv0mGtsq4MTI6plE
pvALzu6EDB6j3Od2aADd65lqGH4h5hgnZaOPy92FdBUntyQsDV9K16WF1wr1YhWRd2NNOV9euEya
AwitaD8Pg5y3dW1Zxad80s+RRbTntg9xyZ2qpuoEtgiPEmVP//IlMvzkkxS6qW5V3UQNjVWNiXFW
il4kLL/KvLQUgNN9iUuOaEPwLxEWy5zOz2VhzdOnGgnAqG1oyHZIL64k4n0d5rny13Sx7mZhFfGp
pXeUUVszwmdZ2jJ6tRSf+Bq3nym39UD1T60SNZLkcyXEOPbtvgiSyOyODFmLYg/51IrTIBbdF7a9
41OSGPlb3I80advOfUBCVh6rKnognnLawvrPLtyqKdduR3SoW4z3Kp1fmADfSVJ4jVv1guyj+2oX
lGFXDrE/q0Z2L+5Zje966S3OzO3gZMYlL8daeTVs9Txpq3d7ltgdKYsmyWqoSDeGvBulh5qG8p0t
h2Rak7EQomCo6Rw9YB2B8DFbVBvorXGcLAaZGav/np7+P+QKy5TOb2XiV69N8/oWdtSw2+anI9S/
/80/jlBK/wvpOOceqmo2wmCNCutP0Kn9L2kqSBTIMBVcbxu4xR9cQsc6ZzA6Hv8aYY9n/dAfZykY
FpZN6je9iD/xqP+AS/hRm+VxBY5TNlRELvaLolDbkyICyigJEE3fQ4IN9oZXsO55GEl+OFve/lv7
9KOx46+uZHEKRBUF8RVp/M9qszR3cgdpCFey5oGiTfmlzItxBSOm+xuF9F9diWvQT+XgiiRz+d9/
ECsHreGjfkQs0A6wSP3OvGl67IKqmh//8S0tYkQOolzO5Fo/X6h3U4Ia6hlVAvTiJE3efSN6j/n/
/8llJGpolzf+yztqCRpsQjmWpIEMeqs9ohQXAfg6GaP/4NExVjUyVo0kmsP8z3cUsOl3ipA76jkO
Xo7IRWjUWxDv8/hvbmr5Sz8K5Bh4uCBgRfCeFvjnh2fn9ih8oMOVh3CgbKu66X4KxkdhTI9lT0Hx
909wUdv9cjEbiSNKPHw7H90AdH0Kvs2iPBCsRJkLcPYhplHAljN6RUlGc9VBtc/ZuP3nQ9FTji0x
IbgOmucPg17VBdkfZDUdCH0pPnW4HzjDGcmjEfOffn+PywP75R4lEsslQMXkq/751c1d3E0ReT4H
o6vqAyKNaQtk0//0+6v8xbd15iv/eRWmrB+/rSVPtjeIMDwYepRUSsdH1vj8CBDzP3p0P9zPh0c3
oIIviP9kgKTdtFFj/Dqj5lr/Pz6vs3vh50e3cKg9RoYLaZkj1M83RelDellRZoeyt/CIm72BBK9s
x9vZySYQz2axEboWIC+lPJhsFjc41DTkdic/9pWkZw4TZ9x6I1jhmtjBNzcE6O/Gvg3TzRS7zk3e
EWXZF8Es+qvSRWGD6KNRbPeLajlpCypKHG4INbHWHSvGwR2r7G6qtQUVyCoupB/7X/oMHPuQjfLA
sZ10tomC8xAznhPcisG6mSCdrVDUkNlTQdJv2zDfdklKxDiKwU9UAZwjLuvhrfKZ5UWr+O1KcJXY
KU4oe/p4Hbp4ibeTkwKiTahMRQ2/x7C085r53HSCymMHmqS8Ibaw2CA/k4oUF9/Hio0xY4TH0tLx
9skBqEyy/6jReXSTSmOdmdzdnDFxoehq10SxWhAumVzCIMq3SrEEoN0Uu5bODloKLeyjQ+ltH5Mn
cELKgRcjw8znabSfAEKtJ0Av8jQGIv4SeEX6qAayLqvGLl8qlVlPPvdegtAR5Qu4hG7mN/VgKZAX
aAz+9rQ4dJRDgQX3YPrYDOhjaQVkd3QT2i8+j+YUxlV5o7r43RS80y5W1hNupvexGfxPrZqLi2GZ
GkPqq6cpXRLVaupTS30GLNttHKnxPh7B4TOjt2vErtG+D1J7xTYAXE9qdTmld5TZKwd0xHWAzobe
Y5C/AzUU1wjceIhdKvMNR1myyc7DPm0CJHam710ir8u3bF25zS6kQ+jQLs+qku3gbHFLAdiaL3qm
b5BVOGZ9GcYEmraI59f48lW6j0DplFQr+lJzYvb759AvDb21RN94KHwQNa4U+SiXBp2mJ8/I5QNZ
dtk7NMfiyD1O25yMyaXrC1yJ3uZjYSnxAL2I8SOpVtDYdWSfAAMN+2LHaVNf1mNpr3BT8gpaf0yQ
xiHDBsQXJAZ6B6Ufm6rms3PozKGjYYmbJ+1Reyx7SAbpUIaPLSfFfk8ZMH7VA7A8Wgj9lXILSmKR
RtjU9P54P2CafJ7rOdnLsmvx+Bu1Fe1iTgPzwm1KqhWESuAINJvF11mXzTdr5ttyDGION+kgm889
9Y4XQtrlyZ1S5lBifyD0dIZ9xGoSwRweUK+JhDchwyD5UgUWZC8/yImLaqw1coN3SKGalGL0v/wQ
+uFBNm2MqSF9ISSs9TrgFL8Fzqsp6vKGOpulD90DUUEeeSMSnfSnuAdhvgnLMfyel1oe8kQhJFAh
HXxHdM9lM8GCzgqaQbpjIMzoqo5gAWmiRwSFGS2JiyLd6zr43na1uwmb8RPyyUNb9Gipp+iYURDY
dj7qC5ZC9y7s+CiJ1hwxH6f9Vd/WehskfOcOrEPaO27y5AFtOZl63CFFA7k5j2XLkTppEkh8Me7+
NmVQMyuOt2FKhG7exZSU2VQSSshXn3TAmnsk4qRixdN2rpndUJn0e7Gsu6XDfVtZ/Bo1BhZ4IASv
6dh4d3bfiusiGMhOgdF8HDtGVMKE+qXTBMWa6VRQweH2ZTPzGWXIKG6o1w9vYG6QDwSATtahk3h3
QmH6dsz0FRUegS4184cKDfduBtJBebSeNr6Lgncl7c6784ukJuuoYyY777SQYlXI8bJuE+PXoPbW
FRuKUsWmJoboEDVeS6ipGN5CmV+UFPegfECBoJ1K0EeU3thlW+zCwYaXRPTjTVMt++rCKk6pKBlM
5GyAKM6Es05cnk7ka3TwCpL1edZF2/3SJsDGzIHZql/GiDRncZ34bXQdyzHY9dj8mOPYSawMrNzX
cSB3DWq3dV/UYIHtmRmxLcZ1P6viczTyhGbXzxGVufXaMRoKDLxh4KpmXR8CVoOHvgx8mn95ji+m
y+6ajrnHCJg9Bs1Hn/Q44nrIkTsbISu5R310bfuW+VWLrj1RU2Q/WnQ3HhynQ6NM2hZhofeZDowr
UiNubNxQz0YcNzfTGLZXfjw/RaY9PHkJodveBMrGmYU8zLhDCM8CzlkatX+bJi8uPv8NcZPvRbCg
ctroM9/zY92bKK28Ak1FkCGvM+3yxplIfGVZxNKhKMxKEgksl0UPYb9zYUQhyv2cmbfOmXHMzCOe
2aRBQWeWiJl/T7LKacrdzDvYcfZC0abGpR7kwA2b0rE7ZJZ06j3RXiuL4Klh1TY6ppRL96lYxRzy
IOyhzMsWeyvn+YGqJ2grmhZ5UmeAU3oIBCuaJVFG7COCArQuQ5WtwAFA2oEWxIEf/5TbEjJQeN0S
Cth0G9h4k5US+jMWrjpNg4VAgsUnrZn/wHX595U1ILdGxhAaeyfqs/BIPY7SJKIl0CBHQoQLTAGq
o48GuknXoK6AZ7jvzRSH3srrk+w7NX+CTKPAvRg9tyRafdL1kksjTQTzI/P65LkJAsq2btvbXEE1
rGOn0+C9vSDetjS+HLICO0EppBHNFy8x4ejQiv40xPZIerqgk7Nsrol2Ld2pP+ZpnGxQjXx1vA6F
84JVm2C5O9IId5bi+2Li6O+gSxuLGt9AzOxCijUca9rznVp04mJMBB001oNVdS0JYP5rEspk6w5W
srVMpCmAQcUzIqXxGq4q+nDynMxN7lgdwN/Unq/5XIO3AI9zt0pEYxC4haglTg3jIhppN+5cSqI4
6xTTtxOwO+G0BMFicHQqNyU3fEjIfwOgNsm/M2UtXdKf9/H4vzGjYluUhF2Clfx5M9rMwDK6xkwP
KLCYb6wBRnLQoQ6iTMQsx9byerJBJCLJZ1+R6Lo48cHLU2tnZPEK/XcHtQ+9Vsdbfg8VAuFSoeCw
+/GgFlgAiplCD3UmHjsT+0rCnDq4OOjT7t6fWOZ+f8T45WSoTWFyNMRhuJjoPjZ3G9Q6WUBwEto3
NmG53/ksUCzHeR4WJ8OZiovfX0/8cqZZLujiFsN/b9u29+HklNdscByVpEwoCGBWzBIFWTfYmjZx
nb3iKtQkiYTsB2Ea3Z6XHXxsQu1DawCIJ3Dm+EkqX4u56vdjw7r++99n/9Xvo5WPid11TSpJH44n
5RhhfcIDcAizzAGw02TvhU3oAKElQ4NEFb/AuE0RAcWrMBbt9cJeXwnISjelYKNNaPwrW5n86Fnk
eU4WJ08gNjly36mTJ8eK9GVexzX5ZY1GyV1F5YJ8kzCgmJXtkYMrLaLM/2Q7pvNqK3AAK83/2UNR
ce+gYLEA+9OYPppRBLdvWRVzQH3eepgT2B2/fxa/2PsYjfiWFa5epSC4/mIN7wYfoVWTHFoFZVMa
TbFCrYoXzHaeKwR/B4Nt4wojmbWTKJrWAIOPv/8Jv5yzNQEengUzajHfY6H++ftsJ1ycZUSQn+a8
vZeEMJwwtPzdNPBLxYKrUKiwlO06lut+fOdd1PW+yovooBw2z4rOyTqH1rKuyG0NANEVNOPBCl2j
Heqff3+D1jLefzoOa7Yo8L89fNqAJD4eh2mNOH2dDuEBkHTgE1hY6EvD9/WXrGNrjPpWTjfakPoR
5+BjAqAGBbIckFr2Mli3RU7DlfmW1gJNF88mTLhkOwl7/cD+m+hLArK/Vf4iIzX8hoPr+df/V+3z
N2ofqltLDe3/Vvs8RQ0xn02U/1ir/uPf+lPuo8jQIjmHL0x6JHAtyVt/1Kr1UpAWPyJP/rdW7f4L
TQ9YCADIy1hdaCR/1qotMnTsxQWL44FV5J/pfn5eGFiIWGWx01roYxyLM9SHedASZph0MlQnHbD/
ZjlCSYoo/0DTLJnZnTTy9YcHdPvvIf9jyfqvLoj0acFCsOgr8WHpS7jrksayPNns7jaQnuh8afSr
KuXwC9NN/I3J/eeJ/t83SJmQ50VQNEX/DwsRvV9Yz7jgIf2F6jXWXMCOY/HQSGohv7+1n+eX86V4
1bxrAEvYlD+u6nU4hEGXCOeEJkS+Rm5cH2QLn3qlrEBcL8LERzeJxXXty/H+95f+i7tkJElGg2ey
wn+c2oYq6SfTqJ1TY8UkBnolOl1DklSb9QGr0u8vJpbt0v9OZucbZQQKbYEt8GCBf3iHI93ezKUW
cxoK0gFWbokRejXEZoq/rXVZQ3I7LsNjNnLsXE912DfPjihQn48ph33TyvXl73/Rr7ev2FDhtqfz
opjcP6wfsQjhNQe+c/IGh9vVS2HLNKhf/YfXWjpPNiV9sOLOhwEVEEqRhtPknGxk99cdC+c3l9SF
+y62ypff39byHH9+zjg/KONL6ZpY8M+G+B+aLlGLWVAVnXOiu//eWGwlOovT9u8v8lfPjkkIPwcX
Y5b68DJNRNYuQajOaU6ovMUeSvCVpzjsizmh9vX7i33YayxDB5eR5QoW4aU593GvAWdC9LMh7FNs
RUm2sZEXn4gdoG6b1g1xyhi+Xh08A9cAusf7KWwp8PbUfP/mZ/w6gqkuMe0hd+Q//LLh8C1B5hN2
zhP6vgV6lgv2qD7prSV+t7WJFZUqS2LVCntTRynr/PHiRKB8qpv68Ptf81dvwHFs0BbLm+aU8vPu
J0lpjmdJyce7lNxMkzbhwH755NCS3v7zSy24D7mwjmzr44gaS68uareyTxGyt3utAz5ZIx2Z6j3F
m/j9xX6e6pm+HYfIAMr/rCwLvcv6+b5wRRUpxw0kaZOJqNGgbP2S22n5QoFtZNM/MTv8/oofQXdc
kioCqknaQssL/tiUKpPZYaNL7pvpk3js4I/Eh183aAlw4N9Hjc97pdZBWc2LrYco4JPKxrY4uUZe
DhsvUtUBaWV9OM8grZOUAIxni/KtHxqz2ESi+LuHBGrmp69cshd0mU0ZiNoknJOl8efHhIchdsbF
7d1QF9uZMwHERaSMXSCapFsVZgZ8BZBBXONvLuJyUlvBH7urayPFhR6D8Vz5mc+L9GXQIqHKIJKi
kVGUi8/9EFgE4cYkSYBkeTGw0xUB3Ycq9Mb7VNHWIiS+/VbTVL8gpiepN01MkPtgxdVL27vFyQsc
+wgbhlPcIlW9DSA31Fva0fqxJeyHDgesY0EENFRgxOwhgeqZDlWCQC9CQRt0ka32aV5xDY8nrTDD
31aVZ5orp3c4zEBnENcNPBZkrw7dhSVbat7TbtbqSGRKcWraYCn11CIPj6S1td+SOK1e3BKt/DET
0XQPcWO8RdBr9KsFOht9ERMlrxVGc7VoPrzBfyTPi7HXJuo1iSxGuxNb8nVCP/OtoXDICt338jUj
tPmtnH2LU7Jb3deqzfaSrOq1GwUOjshG9xKxjmSFEZPA+WxXfKQjScwOJPi1PTo8USA4j3AIyGS2
7eZb3bS0awpLPLSzxfOBI+3eNzjaHq1eNt9K7fCeMjXoRzHWzbckCyxrpWj5bPHcQOz06Fc90nbk
n6KkTuvLz/krpJ2Jh7nluTmdiTD0vMrlrNS7slnOqVMW1vEhcEbyNyfXZWQ7ISZXULYIqI7hsjEx
YrxSQUUnwYwtQL7FpDjvmoZB+k6eEmgaoRLcJLYpX1219C9gFFOj7nFbUbozfVcdy2W+NHo0O3vq
C1W6t0aLH8MhKMm2dcu6qIqQ768wgwlr7eyJ69DIUl6lJPhi7RdUBjbu5LDetIlPI0PkNmO5jw26
FyYgtr3X0uzCwTLelsJjLWqJlBt30/+wd17LkRtpFn6VfQEoYBLuFqgqlqEtmmbzBsF28CZhE3j6
/cCWZtRsjTp0r9gbRew0i0QByMzzn/OdgnU56Cub4mYqdYCzENePSX+W9utYS/uV0Rc8gK5q/TUY
ZrT3sbWY+2WZ8N2asSNeqnGkBmxJ56uC4u8NghxyVqYVhrczcDUfU9oeDnEx8zFdoUhqVksNzoVM
HXTOBe4+IREqwlw7m6+h8+inUiR1E9ByQabM7jD62ZqAsrzMD7mPV4rqr6Y55rRcszNy8oRu1666
65vOqygRGMqvtd323zyqmg+26Q7XvmND2p9VFimqH3gzhUvBi2vSG7LqvTY3z1BT225HyaRDwN41
Nl1fVZd1p7fxDjwROUt/wMpqcC6k3m6or/1sNCbMeF3yEltUJIAtblbyhnMhqzk6kTd35YXXTc7H
BtzVbq6a5cWJp5rYVxnPwPHF8lIB5t5ivFlQJEe+Ri+yVzj9VL3QEOD21GCT6iV6BsSDzWgHXVSu
FnDmA1vJHjAY2bzsSg/yAC+mKKhqur2HnHh5lUt6vdqkI8wyzF+juJ62CViBu9mvy+c0H0FvzBWp
oSolU0wSGXp3++r2gucD8NEmgtAbDiPD5JJse9ZSjCJUovP6t6Ka6GRLW9jGcQuLOWguV+NO0OJq
iBFFO9XQWWEQqEc2nMkNpeMUiCjig0QBOJthYnLw6qYLi76jDrueta1Z1sNjkzuyCceq2w1wa0N4
NZ8Lt6ufYeNSFuYbatdpkbXBi6Zf+FFf3rEqMWBeeL1fOkICNYl1vlE3NrNLsqWYSPuhuS26npua
QLrbv2KcMK41M+OR6ECsqG3d9GZ2clTEBpvCgF6GvG37L6iwvJDqxTdojsS4F+j96D+17qDirQdJ
UGewmcDgWDsMxoBCxQJ8iq3VH2Gtk0YlDxa+TeZQ3lmPvcGOMMmbzK/rtlh/mqGaDixLzyuItzEb
s6bmbas4RxFpZQvnjIvBnEPw6A+JzQBTYSfd20bOoJiAFL+aC0oXSnlV4HyUMfu5hJ4Rw2JswzMP
pqZ8sdHNm28zKaegY2AYbSECwg/IxPQVfoMkzJ1r9gffifwDNPhuXzCRIEyo4hSqkpEln7qxf80a
29raMPPjEIC27J6LRRu0e4AytYVBKvGuxzZLQ6dI8y0GGbknQLrsZq9qHhfsui4xFTE9jnZbnp24
+WYWy7MyhXGT92RFeK8yqDPR+rdiaMwvRLzjL0uaTvfx4PLN8cRnWzkCJwpEDPIpGJMUVocsOvfo
2FSNApYrGsR8h/d4mA9MTfegq/STkPV8JTvaL51Fpbhdy3wwAodvIQvZ7PhPWjUCzceOW1ypthU3
C7X1N9IQw7lMGY+0cNE/4x8ptjXh+E+174yn3mno0LQjM3WCzrPSMMeWGkwDkR0m2AWvCx86U1Z6
4jhP4ydm1dP91Mc5eYBBv2rT2H7JJwd8e1uAmxB00qeBnK342hdzirHXtqBvTD45+jHuXs10ak6l
i3mjSm24ECCe6cLuMQRdGLzydhQVDOMG5IjJRI5EitolRUU/U95giaLU5L6hh+SSkAh5wUSviV/G
08eh6OWw1btOpEeVKmWHZOWACJBW9PJrRxERuPAxEu455WqXoKLrR2Ispg9aYyC0b2quTp8CN8/1
xAr/DaJedzU0DWIyC+Gpyrqy2NCKE3VBbXC8SHi5QWWNDFDS7Cy0MB7d8S42x8kKIEpDjCBD2X7M
VU8maC7sS5WavEYtfcb9IJuxmpi4tkMUFkSnr3p3Xuxg9qXhETGg+Ie+xOkrQ/0h2vlrvjpuGJ8J
Ic2tVTjLHmBWeu5KQz4Oxtw9ecUstqNachjYCjiJC4VeUMjNyAUo9saiFSANjQiXNGgY1qF+DR9G
Gq1VG8Gluh0XzilVsTCUtOsovSFDph6JQVIKnvZQ1FMLKpJHwaUbVE1l72Tn2lNYI1p3FwP37rcI
XvuHxrP6z6DX3S8kqp10pzcOrP2uMJhKZjXpYDpYrfrb0i8y3bQJ2Zg9o/5vdqLi2y4rLVY5yu2P
1qSIr9d1JTeJSkk2EI1ow5zV+UYrpozRkhPBCIjZs8fLrBSp6Bo2tz2I3jvlzEYYUrkYKphhDaEb
L9mNTgpMD4CkFzegyFfODHiIu0Sz+NYKBCSxp9eT2eKTSqCiiO8n2H+10F9ooax/q730f2uh11+n
/7v6qtLPP1TP/f7PfhdDDR1csy4cvHtvzXN/EkPxyf6mczjS2bx9bxv/jxhqIYZyNHJ9CITuqoUi
UfwRgjR+46AB1RY1xtXJL3r/KAT5o+BioxHy8XDSOYeT37PfazsyIwQ+xVV22ZpDOr+KGmheULEa
i62e+FrlBxbNSdm8T7Ghl9qhNmE2t+sks9rXU6pf4Hefv7QWEYxQ0xs7VNk8LifFgPerbAt3k8JA
bxe5r/rYobyDVXGaxb3WJYs3xOsOycRCU7hVWwT6HHuuvc0h6Sf+jZ5qvXvHXm40rC1DCwhb99ab
Q9CZxp4GOWsq0jlYhGbil0tq9gTHlMxQyPiZCMxY2jPbj3ixc8UGZKQpzbtP4PXXUxaiRGOvMErR
M0yHylR2D6waDgD4TFiF/oH64H4ZLqpm9ExWML2s9BPDmpyYlC4/U77R7lzZzLe2WVRkpeYp4586
s7bgRgbA9Z2V+u8D+KsHEMQv0sH/fgCv0s9JGr/+MIvAK7P+oz9mEYwODBDpIK6/P2I80H/MIvTf
BOop9zxzBcz2jv+fx094vxnMLYho+DyeuNr5gX/MIozfeExWGCeuOyZ4rv1PHj/j3Vgcm61hWQKG
KzhstKP3wwhgBexqi844VY2gITgcgfCpfbsq9dAOKqekhWQua0qcDG3Cf0MpLTSLhHRQ5zccVFMI
XsYGsWn1atgo/3PL01uI7BSbK5Hx++kZDFnb/UL6f6fhoDvxC1OsAYgV+f8ngDj1eRDx2qU9WbGu
zkbCDsLGM3I5j2vnnjZzuv3TV/sXYxRcAj/KRm/qGjo0ryqBy5Zr9qNspKXUSmpDHZ/Qwi7hT6DE
FCOD7otMiFjqQS6pajRavfnoT1RDc5IUhE73vsMUdEfW0qgPoH85VS8jZUgB0R9MnWbvqFuvSl1r
WwOQv03I6j0UpoEiI6IKeZhobrvFYMrAmrQXZwLZwisNbTVUOaVLFddac0Z0kIW5ONUz9mtfNWz/
M7ke4NlwjfG2daPVAWVHHC8m3phe6PCN4PTpu2HYRR1lULOTmg+tYXETTBY+gNbClzELzacuctU9
Wg9TJduBFGUBZClBQxymwF/oVGo3MonNB8PQUC1St1tVqRYxS0tmFA9kLCapZuopdECz+cgODznI
AceT3Kik5DcC/G4dcGAk6rGVdkIGSGroN2aWGN3JrIlHXC/k1bWd485O82xaA7pUvw7K3BiKDN5e
1x7P1DWZCET087GRMqCSWmbPlUs72OiksWpVH9rG43Q0tjn/KHI0PrpoOEAEzQDAcEtTOMc6tayH
Nk3PsuQWNBwrRt1WkEDFZPH3Z3llv2bMk5+GGQPWOIBNQ2ICLraRqXOX4HiFv9VJLhJsTL4FR5C7
eU7owWz2YoHdsuU6WkNopys6IwXsOW2U3cvlfl5qvtYRBdk4xYBPwQKsX4m7XhxfrtL9mzZH6Ax1
nJYejRf/OE5X9KgC4vX0RAXsXSHWxQDwQL/T3b3toFQVFB7h9lwP4JO7qUez2K4h9U0Bq4/WtUnN
Dw7nLTgDPkaxMosE3fH2UL/GWW9fzSTin5CcjOtpbIpbasfjVxOn5h4Xu/BCInPuaxXn44fGAvq1
MxZu2WSCkzKySHphkq0Go7KIQM2ZyuFMTQk4Jyy4lf0dKu8qfo0ut83YulzeKaXp6gZyF3WlnR1r
VRGWg7QA2M/CSxYLCyPL7Wfs43x3qYVj4duczUPzkf8ss28wkZGcSx2/pVMgz9Yx90hnVizQ2Pg4
rZvrN1/kUBoR96Z1NzCh82wXF62SK8PDBSCGh5K2JMKrnQ508nlVAs5Yi3gQNAKVilx2s6b/C70+
Ic2gpUWKAUU8ZhioYTeoW1RyuR/Yn6tLqxq49G498Ck4dlFcDZ42f6tUxnVBpYZcAvatPoFPMdsH
th6a9qQN7iIve7PV2ttZIWDuCrxS0+NS4ml7TIVe5udoRFJUpdZKnNmWdVjG1dGyzCXXEoMb15ID
GzLr94FDo5MViQqvUFgYIp6eRlI3Eb7dyLnS+OJqzec5digtQuhrBT9FTRbv0ErUqPYD8yNohF7i
PKvCG8ybLPJ5UXix8Va4zlQucTxEEm/lKBExjtEjID+02UtrtFMM/W9A8bYir88/tLwhjCRU0WK3
NzXddY6H0UKLfIqsYnRuMzf4STq307GTKMqg/1rjOuOorT54QyTzr+z9TBND7CyJa5b6aJo3JevP
IgNzyGLnEFUmqChOQIwwSVLTXoQMv2pBWhrrL6laYBaksXddwaZ/tkfOkBih7t0xVlMI8Hd4nFfR
KV/lJ24MKjpXScpaxSlSAuhU5SpZGW/qVeKW9h4bqjNd1oJSyxRPP763ncCNSGi9pnWz4iVTH5rG
0586uzFDq9RfUBiQFSHoBqSx+yBNJuXtjdyMPxVd5H5VMXWB8GWqm75wLkFvy3mbF626c2o3frGt
sdqWLFIbjBLWmQRQ9WKIpNyZlY731QVvgCLltrd+DEPSbXKsUuaSF1dpExePZtahu+hdv1u0Hj/i
iNoKEhC0Wzk1N2OxlJc2dsvtAI7gjtd685L5Q3I/iuJ2cnWVXbSyowJ0podMfxM7QcPdx4g1j1Mp
unjXrroo8VrM6LlcANP5+Q5GH+xqOUG3L1yspOlo1Q8sOs1zRSFvssmWrtp5qV5/SBxnvbRliun0
TZKF86quG0cx1sAWuokjt/tGjL0F1SfE3lyyeDcVpnltx50rNgk0RLTTme3AZmWG4Q4va1pk5bxG
bqz64CbK3MW2cZdFdXOhq2TYtPyNz1neYoUFg+QcUGeNcTuXqMKScth7v0Gz1bol39mw30It0xZv
N8+Oc60lvTzxwp73elXNdKYY/mEBtQWomAN3b4ohlMOc7ZOqcx7GdFy+6HqRneC9L6f2TSv/+x3K
T5s5wVGN/3szHIKneTeTl3Vp0QYPEUkxxt7n1eoxnzg2BYI4/SbTx/oE7PdXs9R3J7h1AMgoDbaj
w07Xhfv7465IoIq4yWT7x7eJTypSXgzopr+cNP44s11nmy5zOz4FPxlgnvetG/QHoIZAYDgKTPu8
U/WWdzZNYB/tN3327y/lX30YY2HIYWyQSYO9u5RofZ0Wswk80kBM5WWdiMNbWFFLacD8+4/6eSOL
YdPjunHmA575foAqASQ3mtKdIx3XxjXCHXY88unYkpnddS424H/8eTQlcK43cEYJTA4/fl+GV/PY
FqUNHTaJnr4vQYjprBgUW7Mb6dKZy/v3n7lerv/aKtbvjj9ubU2gzokv7/0xY6bqtvfbnoZCp2J3
5Wor9I0XKitwRbc84iXTTWT4cuS/dQz26hcD/59vUlJJqA2eDnPJpKPmxz8alA20iyJ3jsOQtvtp
0qyDMqZfTZb/8lNcw6bfA1sHJ5MfP6WgU62KaNU5olW3+zmtUmAX86+ctH/1KRwoaYZYQ6A/mUed
HgyurfG3vMVAnXRVybEZ/PPbBGQWtQ9oMwz4398mucTRA8bMPprrXD9tE26KcaYiefs2JukbNS6/
ONL9/P7inb4+5WsjGf/17vIxCYrmqXDEUasj59kADEtWbGQrMhSYlyugoUxqu4Vb5O/vzp8fdg8K
mIVLVLdwWL3/U32yB9CqbfOYDzzdUc17sndI7y6Z4/3CNvUXfyI3Bzlr9uB45N6/LN1iavmo0jyq
NinDuTTq09IR1yrE6sZfT3BqvWv++d+HrdJbWWP4jVdR8c9p11EHaEhFtnF8Mx9UJRFOAC/JBQed
Xz7pb763Hx91TBW0ttP857vez0/amgHTeZ8QHet86lmN0gb+B6L+DIy+va4zgsQ4rdkmq4l9HUGk
ubse5aiiHcYuweGiJj0Vm90XBlUWu86lIozo5U5T/OKy/PziRXukFNLnjeQg0KzP2Z+8XoxOpnQG
ZEW1CH56Ss7S5uNKgFwH4liLocP/0nf05rV8f3VcnqrVF03o/r0pOaYH3IxY446ahzlnC6JmncUr
1X/xWnhJIYzN9X7PUvwAA54LTBKYYN6cWYx2mfjLeFhWujgmzn42MAz8/a3yV9dkxTgQmgdIh1vr
x2uiQztfYCTaxzfzQKbb2YsRkxzsipXTRRjoVzLOT8+egw+dpwEph1sUe+2PHyghirPpn5cjuEXx
2uGMyYJ59QOxsnMa//u/7q8+DN1oFcJ9XjXvVwGipb4eS38+qpihTVbleDE6j1OOrTccF//+w356
TfOXeTg1UeDXFe+9F6vMNYO6X30+OpHNwZJ2de4sHkROiX//QeaP1jpWV7L5kBtYEfjjHHSxH69h
YSXUrjfuxA6Ckf6tzhluCCFW9fljBLO6OzXZiBIiYkHudkpIIRWNa7WMStdlsJbqzOQUnUCbOCxh
NVjwizEy2jP9Q8pC9aKivFjVD0yvHI4nojS3fVVjFfinL2KHokefkAjrGiSK91uhtKIuw4WgfISX
423eHHklEcKLmKHfP9118VHcAwLrKpLeT2mZPtbNflRJe2xXG5Zn4kUJZA3HWjMVFqNK/VI/fLcH
wnTG+9Dk0ccHCA3l/bdULaVlyNYWR0cq8RVT83hsReQ/vQkijtuh6silAOytlPmLNx3QQG6BP713
GFtj/8SGyCevCRzb+vEWEQWBS3K/FI0wRSiXjZ55TEMuZmcZLDOcVOR9cgzqtjcYB4wOlhbW9Mpq
43Rv9jPJUmD981kfSlTEBVDTggjprgcLuJxLQFGYdWhLp6OVmZ9/6/azVvGTptTe++Sjic1hQq/v
7Kwj87jeXgC32D0AjDSa4whEvQtMp8MHPymksS4izHbKEY6YXssRC5EXE4m7svEXtxvI1uXdhNpw
jVtMA5+fOrf1bGjLRe0ymUXFplxZd6WpQ+PK9ArLhj34wN7b5rLPAeoSvW+WaVPPcuEAvaRHKjCM
UIyFPRTBYCTSr4JBpnaP9q2PU/1qLdmKeMH1gHg0NEZhfJmAoyOKa/j2IOg3qxgKpiy5HWfFf7sM
nOuDUyNREmH2o2TvjHCRwkoy6tou0v198wnrGeXFL9Z9jWx41piJ2/M31HJQ7PQptxzc5xaK3yH2
8FI2aimTW1LTRX2Zx3Ls7zrCyOWGeDNPd22UTX6usbsYm3boDbkjnobNTId7EjtOnZ8JRXZfFJm8
BYU3s5evllMN4qqVxipFTQVfs9KpGdzxp9uv9sSve99gySY3hsX9cuRqjigaA9pcCldZ7Zxm5uPR
QVCuMCYihHvlTNEIMAV+Ih2bEQn1yaoOUmXYQlSd8tEyX1i1fJ0YIxC1wurMm2oa7f5spNrqZuJ2
SW45r0LoNWZ3okRFA0Ewji1FV5uhH7VwaVbnqGPyCreXmDuoglUOhcKdUvdS0FYyHRKlUdPUK4N4
73dTjdcMMCbVm5GNsTsqI2lE1T4Yld0WF15qc4NVCayXay1tWRve9gFo9tx9S+wgNSQOkaAjbYLW
fGIarkDALXOtvvn9Et16C5j57xKcXQz8MlaijAexWh7TKEki+NcdkJjvj5WzIgT09ZmZXCvzXitA
4i3iPA5DQxkJkSxWRUnHK0HPsHVs7iLpOWv4vrC5ria2BTOwsm74BCllGncqRYf/PpqhiPQ1sq11
IxEL9nZe7UK9MLJViW2R54Mm4/hDTRcK/Nvy5zoDImOCduVe2i7ziIAOUZXBSM/17kTumce0bDQm
DTgkuLAiGikjApUXp3ddJflFDB3tZNcUZneuFkOql0G5Fr7QwrXz/OzVvhqubFUYD06WVSIc2iid
v3oak4wt8BpT3M1GgwqczOyNLZ6/yS1ZjxkD4GFIkCu4VwTTHDAVorfcD2zM857IHO2QJMoKgNj0
nEcRIdKQV7hNE0LbodbPTGcBF1C07n1MBen7Y6nrCqkNhbz3EMiWYcym7yv+v3PSX8xJ13gvq93/
npPe19RB/N/mla6U1x9yW9//4e+zUt/5TbDxXDM10MQEKZf/zEoNnT5qdqUkGH7HOP93Vmr/xmnR
ZDfNdovtPHu+P0alzF49socrRAsLFKLHPxmVslL/uIZirOdQjyZkgJYixvA2S/3TeQHNtOqjSGon
Ir/jHcdmBgeitQ9lsRDa5v2y0ZfRPOMvIlVai2VrjLN/WFXzTZzX0wO0zJIICwN9Q/beHvgJ5uaI
pwJeiZGFrlMliM7xOW6svcj7MYjguoSUADxNQ347maJnXBF7+K3wcMOOVmHUCR9CbIXjnpaXOJCi
MO/7Clpf05grQzUurwl1dg+V5Sc4xXuxmYe2+KJrQzB71mNWZ9+sppcBTz7Wz7k/Z7VjX8gJMidv
mKE8p/QOHevGk6fZTYBTA/TJL0aoDLCDKnU5T457KGMIolm29NSFRP6OkSKThbxenE3M5WSZZktF
6BxSNFpzU64uVaxKs17N+0Vv9S21R5Qk8chf6q23LwrzDErIhcjhG1dlzmg6UiVofn8IYqIj25yq
vAA7e7SDMVCG3DD1Fqov29k4nwIA7SGM/TbkyypPC4GCnWtr7rHMMgcDdAQvX7jNTpkgXveqYsMU
2h2+TQZD99LGMjXNyZOPDxk523YOCifUx8qooZx20t/os1VH19BxTX1b1EnaUtNDFYB+GqsIW13V
WjkejXSqPe1zXiiGDhS5DRrlZ2yO2mCo6o7xoE2VAx6rXvaU37GvklblseXyKTCYPGkp/G6jnC5K
k/Mno02IqUxJqiA1hHujyqo/a+AV+mBOtTLpqbjorDHo49S+xKQLztpQ2C21nPbAAF8qb9NsEPm1
NjMv0zYaEbGYvVLD6Ly94jTOqlsEeU2W3w74QZ3rhw32x6U6wtnonfZjbUb2uV2aicmHD0Vfy4Dv
U+iRTXdRn5cXlaw9N76x3HUauWO3o3NGEEvT9me/o7vJeYQy1On32jg7ULw1nxYNqjfickCKJ4Tl
qZRfwKltXV1NHAEaiT0uqobQKHTjQ+016m6CeFnihwcBszNTPNZhrsWKbIjtR6EGG8Fn2jpqT0lu
p/nGXNxyDnqnVFc5CWwvqHz5hZ3Cut+jy/SMngDvlTeJpAEuh8sT2aCBrrVsNo2wbGb9ZhknZ9wV
FIlG4SAT0BMGU40jrTHJHu1U26YLVTfQo4f5niZHUBIAa6FtQo+miEs61otMhLmhnjK+kcksbxwo
yITSmwZui0FtIb+AfoUl3d6WGAe2CuvgPsUCfstYvnqCMK7om8RxSvnlnHV4dn3KBihJBwzsOdGB
U5KGqNJhzg9ihqUbQ8MvgHG4cvnKl7wE5GH1c2CMiUnFQdefh9GtbqXXxBeuFEFijPYNBvX4ISoa
dYJ9btqB1OLle5ru3wXxFwsirrhfdRZU1dfu3Wr4+7/6wznks3phwWMlfEML/sm457tv7EwiD2/m
IMT8/66G/m/Elwl8CIYkaJkua+gfy6FFipmVFeyY7tEG9w+dQ5iF36+Ha8SMlgQUNMvACfhOurEI
7Ze9wJlW6VqdSB5Y4Wi4jimnTns87NtcWH0dzNbYtDsFut3aOk1vfVUK335QLmmF8WLurhRMFb8O
pAVNRy2FEDRhITdssBF/ij0zfizV4IY0rtsfRiH6K6nH/S3Gai3apXUGlZbMi0szK//PcHSU31xo
WZLvWwDEJzdTCwQsEMdtb33SJhHNJ+wZ1AIKx+wvx8wX1aOVR4N72S1y0cOBeusBiktpDV+yNzeT
2bHQOtSG+JSBLXMHIzzv5o3V6haoOWv4CO5pwnwBQ1e7yq3UXg/HJWtMznd7H0dF6YSWCZJs2xBV
ejR4HwQxhpAlbNOMeSPeTfKsbS3vHTGYB1bphFxP9qVAqNqmQJHx/8k0C0bm3BdkONlHWPmtk2Hp
2fM/sa6gsEflhu7hdN9XFiUMLTnQbW9or4qq2cDTs3I6cHzi5FT51laihcNT8pJxw+RO2mxitO5M
JbB9NfoYNKBQu8Zh8H2iVv3iR09L6bn3zVoj2/az6R2AJFraJusau1i7rzmquG2UPY9Tm2w1kqhh
DgGEa9CMgRxUdXT8ujj1DfZlypMn2g8cZDEG3/N06od+3dDETbJ1U2c5yyoWeDoj4mf73HBYwFrG
J2Y/7WcKdasN0xTaSEUks503R9Fe0L/63CxUtgdLpy0PPpEBwVo4uSnMdt0rnlJA4tUjvk5SoNuB
Q6dikaU6s+suMAvMendIYuJlBLwKOzVeKf4j0JODRA1suyCq2InQlI24XsAcbZUewfkD23ZgmHv2
ksihqogOx5ztXUYOiWY9UcsyTBy/h7jWd15AIsICfW2b07ZYojGk3qKhptN9yHltl7Z5iIf2yp69
LFiIMLhpfU3/KbkOO78gohgd3bzaVUg1jxQR3CnwNkHLx+xi8OTUeswfDX2ihstNo100zveMlzuq
GJJkuzgyu5Slph8amz1QH0nziJ2WLST6zrbToG6VlDIfBbOV3eTV6Ukr5uWgSx5N0ynMR382X6qe
Dl5pxG6QJb0Gtiobd1Th9v3RtqzsgEzxiXBrcaRCID5JRvXg80t9i1P2Aj9J2Ilm2LET4PpocpOW
Gh0IUqPDpCFAEsZJ8tVe5DPERPpKGMeDttUp5hZt7oXQhKcNaJL4srJJ0jCTbC5kttz3qdYFRp2u
Hb12BJQ+M2757bNTZs8a/ngm3wccj8NX1rSZQjyLi8PDticwAGCSEyN1WP2+lhKylX0vreKce+nl
YkQINQN7J3N5SB2o2nrnH914OlMneEC5o1tPn7dxxtWPnST0RvHYSeJbs7rKTE0Fvj2oXdsU/XaM
FspMI/HksEkmVFx2dEgXXwuht4FZTQ775mS4T7XqypOGAYifNjmJz0rNqXclGoB4GTu0QPd8g/44
jsf6AACzVG2FW2icuLeaziDDhicBIYBe08Qf9l5bfIbTjm/O1P2jw+vyOLRYSFRkZdeJ32d7CCa0
BbupcRcn8m7Mui015BtvqatrRcfCa7G+zfIhckmiZ5124vwgzqkpHTb/fRLyhXHGV40PyCx51rWO
872pviV9SSW126HZEV4MQBfMoY2T5whTxtp2vNbvemtai+Yc/5Bn7jly2jt8YfqO1wQVqpk2uWGX
O/0H3ivDxhzdaCTy1GfXlIPQCdfn/YXOF7XTazlg8bCTs6WUTx5Gx+6n9dSilh87ApwhHhWQbOWu
khx+VNa4VK50Z8rLeLsAmYKenO0yi+4tYlg0uYv0OrcSVgcZhXAUqQjL+ocCSOHOLJfofsqnq0aT
bUgGKHvE5/loxz4Da2187Rb/2YnNgznYpLOModmVRaFoQpl2Hf2FcPgvfDOjjiqT4to0Ynkxee3n
ivKsLZ143V7vzYcmcnNuYDbdm5JGjpMtJ/06Mazz4DeXRZc80aqwBKShaGMgQ8qbdgtT84XyWrxI
wg7z9V3aaN6t11kXXZqps+Krg8E2xjLkNeq95FFsPBe252xay+VR0+jZNt3xCm4ZFY5w4skE7uxR
mpRKZF4gR0oKQpj5SZjPhXdBlGM5JHW/75vsOKZRftEXehrGvtbg3dEoK8yLcIl8aF7AxNBJxSA+
C43vi8yb5l3PFDzfJSUtLcwR5FUxrHXJ00iFZmYnnxrliHAyBxI9kjVhKh4NMe6rqL7yx4WFNfPh
eLb9/chgEBhS+ZnjyN735ueMmqDtyN+Dk67OQ2G76WkkomsAUdmJJPLMMKYU8FrZoiB5HVHoOSBL
nuzUjnezZs1BN8TWRzqbmzPjlLwKNNxKzdaDkh+OpVXdxtoIMK1uEyfsWdeadKLsorazDY1Rza4a
muHSjKsI26OJmjfoKd3M2mOiTevyPFEv4/iB5tnXE5htYmRFdaPHnKY2ggQtWLN5yYZzlWnewe/y
5ahG61EovfmktaMW76MSs+DOdierC6zCmNpAiHoe96yz5nbs/c+UrNwaCUmkXkz9ubOr26nSNBRV
7a6ck+EGkvaHjkKZ3aCc+khJwAevE8UDx8GjyQFhyyRvpNiukC+8XsV+Amb3mi1Gu8UY3B4sGl+3
WT0mF07hpIHnNXlYEtCCnzt+XCuet5XuaVcx9t0nCLQEXsfO++YMdrwZ8LUFdmIVrxwF53t3IjaW
D95HK7ebsPRK98l1kQw0imxDCKzZQxVTWqsmpom+S6ObZcHlVWJ9iPjCssBSVr6j7Y4XMgefbYyk
ty2zL02bf4K54p59vxo/WN241bGmXcOsteESsmRTR2OAs0tbkaAStyJo9LY4waKr99kw0CDaVfGV
YRZ70s95qNlus2XiX59xC0oSnl4y3GnS8vaL68gP2uLv635WDyPQ2p1Bj1Ia+kueXlZ9/0Xm3mfe
zgUwZcffIGoOj2lmnByElovGB8hp43rewidlgUBt3hAypWQIeYme3TozsR6SEaTyU15mRrcERF3n
y1JQFD7Vhtq4ifzM4dEIB/Atxi0hOuOeF2SHg3qwCi9w+imhQ7eKMRqWImfx6rTqo8TLc4qd2d5R
kJw+rcjNGQZj4a3Uwdm6LxPL+MSEwfkk0iqharcnOhnRw6AxR94yCMp3JrxbzL8gM0U5Ht1h0ahu
ADlomTcRBxWL57Yic3dMyHmX7DwgvqZjnITUhjOoO7WYBnc5AJx7X2Mjalyx0QrLanxq/eUAA/AL
vg7yz427bEoMJNshile3JurKomw/YJG84Fs72hlSl4+0uynqOguUGF7GngYyc2kohWkI+doFFNKW
xCliWL1PxFuveUNe2TOKvYXzjlaQDESjPm2j1rrOkszCN+u0F0XjeKc0KfHV9xgwctfHd53silG2
ZxLT4kI3PpEgZsOEQXCbldEjYxiqvahQ/3/Wzmw5biXLsr/SP4AyOGaYlfVDADGSQTLEQRJfYKRE
YZ4d49fXgjKrUwyyyVJaPeQ1071KOgE4HO7n7L12oBg6qOGq8luzATmZBKiZpmJt19luLph3Ofzc
FUoT4ZWwLYCx9wSojjXLSWyucBQQNFMDdZvT6HFw5aXFBn+jOtzi3K3uIduVa5BKSGXj/GIgxctP
hIOqfGRriNjbyGAiV3wTs3JflsYXF7Xl1gr1H1nR3SMzNa+x1p5kzjlFk+a0GTEGeE1FEpNBHpiO
Z+pIiaLfNLOiPaBCaQk3zvP7EdMoGWQJn7pJMVBrkJmll4glIxRGKy0paTXl8z1kZiTCCJe9GHvj
z7QRvhjtGQAts5y0Rqp5Rr6yRie4t0V2CRPWuGoMjJpdXfxi84sZOWrXIplLL6J8ySPt0f630WbO
uvy+MZLYzzB+b0CRu2uDaCk23Q5+TiXJjmnI4jIBUt9g7K+vLCd4Vtsm9N10BF44pOOJuDBgyq0l
vCmz2fUICJNqlVwV49RdaSrROWWNob9tliaCOl2BNz0owlGBppa6Z/c9ijTXHi6RQf0sOW9kQvmu
OfNTWJEiJtrukmPuxM1IkZrO+8BJ+zUy7W0W/VKcmuhdq1VJj0yqXZ02N3WsXxCYzvIY1Q4e+Vjd
VBXHW9Tl+laX/VYrTUFxNbkAF8MHNFHhUTv3ph3pKz2en0a7+xF04XNZpsyfUj918miXwT3JRnLF
cSp8VBTSOjvi7kmbmb1Qty9n1/nmVBB9XbfcpnwcV1roVFdBQGiSUqji0jCqUzKwO1PaRPVkh111
lTqhCoiXFOpwVm4IEyMDOyXknk9CEnC5fAlqtHhVhGHbafcNM/hxasg8SuGS6MEwrSKdCiWVXbjc
q8jMv2dlkpfrOBb5FZ8sildjqWds8ODf+FrUFKdBLhmAygg/I7HSbRIrYeNVWqNGXplKrCEDbmAC
o6EFmFV9P3RORucv6vfsqlMg9FGxNdzC2FTkt19QVbQ2TdHdTc1M6bt0r12nS26KWBG/sH93F3MU
g8zQHYqo2bRkqwbTxhyM5s4ooLM6jfbEGT45kinLAT+k6jeHRLG1ZXip08LyOixdR3qoxrqex3Gr
lyDpiWYuN71tKBtJm9/Ht80GoID4QJa6HyKkx+yNgAUXbuhT21DQe6jXgFDx21QJYUtRFlxb+GZ2
djY9Ozl96VyzcbFk3DE2tceiI12rSaa92fTo+If+Cj0624o2wpmRuo9ATmOfJCuMEDl8B4CFBdug
ZvaHlB/fuuCQeXdCiAVM13zYGFpSUBnQ4NjS1MOjmO3ZN+6pJ2NdyvJ+w3JlrlnNJx69WawzAF4J
xE0OU86XLlHwUdsZFRd9TL73sDbYSRtqeuRTzVcIsEp1NbXuRdEWzqpKE8PXAqrIZDp5Cj1gfN5a
DYOcIHUL6tGuTQ3hNU2VrJDWqxcyreWhLfVf9dwdJ3TJVDyjb9ocXwlW9/U4h/lN0vAYy9RCi5Xi
l8yywSOfCrM+gcx+isHpYjCSm1hD7Z+W+TG07IfSwVPN/rr2xmrJDBvHTSHUbThQ78ikyVnGjKZN
l9JiV3Ay4ASQL3NZIa2Xx4mGNsV3Ii1DHZNMzTlL0wsvV/C3D5Lg4CCjXKO3HmYbVmVTDXZRmWGQ
Siuc6eN0GHhTvS6g96x2kjXSFI3PBvC5t5Pn2Db3jlHfAD8a9zGVcZ8j5AVL9EMV9MXG6MY1Ry1m
Mm1vT/YtSCrQKFez6LStMw6UUWY+ujRBsTGJL6C8906CH7SH+1PXsM856MzF19pQKJsMw+BsNJqu
rJ1ftCmcuCIyfVNr4OTlDPBEOQ5KRV3Nc7Ui2o9DahCTtebQ0KX381zI0j0locKDdJZ+UB351qjP
90gMb+zZlf5YCY0wNZVuj0nidwOtyGOjrPhAG6YVB5zkLicfzRH1VTtrF6ljPZG0Spv4SYp820nn
V9NPFcfcGCi3mBOvzV2/phUmIJv4c93/qmQD0EhJHyM6LOt66YUvPPRUgy+Szc4CG0rc0C8KagGR
mNm2wFWnoXXTRCzQXts11uhVZOtc512vHRT29GQnh8SvDz2H8r6e6BF1fMlxgJEprFb1umjHovEj
aa+G2rqocnHRqKZHow0xw5hm3YYqDpLUrDNX6Szsmi/0VHdEDMzN1oDa7a7wDJJhn9UoAljV5Aox
TWMSBx/BfqJ3NlvyTgHH3AJlwf6wISd0aDwdzQmUJs4I8IJqbNCbxHBFra0K7pEZVNQcOmVSLzs8
oc9tOtqpBM7vtlQs/qG/+t+u129fyqun/KX9z+UH/2BzwToXyf/7+o/tP/4cvpT+k3x69QeyFWI5
nbqXZvry0sKV+O/kp+Vv/k//4/95+Z/kX6HxWizl///W9PEpLl7+7En/8//xzyq8Zf0HFlya0Trk
RYfiOdq6/869EgBDVQwPJgKyRbj/ryK8/R/o6m3NsfHwQtdUUVv9qwhPzBJpWDbQSDB4rv03PWmG
eKXqomqJq5+fQ/cb/e65IXVysfaitZp3rJco5MzpSGzjH3fjHdfr2yGWjryJT3nJeDF/C1r/aHoH
Q5cpoebORCnpzHpY+lOxcixu6f+75//GKMtv8ccotI3hjUSMYhePrfJYji/S/ESO+dmFLMrXP4ag
smqQ7sEQQE9s9TTxHZ2fP76KM/HsEnAGfA9VvkF1znkTwGONmVb0CvuNwUAd1Ctu6MVVecrzemtG
Rv6JqO/NBf0e7Xc3x0LWvSAaXl3QaI4S7WBDgSLE8NXyjxhG6DoLq8z/+MLeG0poOjgIkLrmG9in
2lrVqI2CC4uc8A54Hh0M8FZHuEfpP5YgFgpWgndmgn0+pbkqbET4RJZmFQ7311clUlNFu8NQBVu7
yzST6c5iQ+QF40wyD0qDbdmH09/ODQbVxGKFh/yJ+PRsUDPGF01QTLvD+WKuNIN/WI1DOizA8k+u
D1P/61d2GQqpM/2GRatrLSrRP6ZhqivVXFUKsSxTxBYpC5Rkp9ROsk81FY1h1tQ31SRGMBVzdOxA
oX0y/jIr/hSCLnNUo61owA5YlqazWTOFRoXXJ2x3Tq6Ma+qjBmX34f7j+bJcxPkgaJ5pM9JeXxw3
ry9yFNRNpKs1OylrsbWHiK5PaOvBVaapM6Bj9CA9+STrssmbzcdDvzd/kPNTSXEX8Pc5TwTawihC
TScZjZzJdaWbiMUShR0VnqOsJrIi4lgZwbv6eFhE3W/ffoG8brEX8VEQb+wES4hsElJH2JlK0fwo
bYviQ6wO2toeWHVM4PoUHenoqBkFFLZORMG2Oo8gGcV2GvthG1dN86DhchZePLeJ34Af0cy8N/2o
H4dLl2jvTRmQAKFLDvLEawe3sap10crOu4SuIHUeO7GTi9bqbdhN1WPuwP7n7IZURfS7jkO+SRa4
uiKfyfJTxY6OWVWx86+7cmXFmJCtpkv2kZrZF9QlrO9KbhdsrswpOqq1Yl1kwH68meo/rDgT5tUi
4VgBaMr8uUu7y86lUkBqeUbuT0RJ3q5/WFpuH4I419eOUvd+izd1a2jtpZFq8n4sJuM0BJ3YYngG
pqU3yd7I1XSVdcLYtClrqM0+8+io0A0TnVYmi1D/RYf9SyS9Iy/ZAU7rcna0CWdSK44BGpwduVOh
F5ZddAqSfvjhynw69eR6tJ4V4G+3+4Tx4vllAL/wLaq6JvFzN5vvrQHVtD/M4qVpUI+iCjLkL6UG
awdSJpMPLgSDaDNa0jj1vcoPWm6waYhjOZkA9nKZI+6YTMvPq0BeZlag4+s1wnyNusSuPH6/FGqN
tOkwJwoxN8aLbKm4DJNcGs3jvTFrL27hmt9HDf680SnxNzS2yV6dam5JE/EiFYPxMqO8Qc081PMu
wdK2wu/JQzCDWZJqwc/LR36PhD3iIXfN9iFepj5FKPsid7roWOVDAIWhEVv0qNEJ52yyDwu9992G
Hv2gOeq21PAKr/jghJ4L1I04OGTU0BAxY5lQNndERjCANlucOhK5HXInJTM+6W9RfHW3sgr4y43b
MjEQ1Z7Ifi9XKvb/A24YmFpK2a177F/XjsvtpOcvAj9vKs1HcGdfycFNkn2iWTknBXiYbJljwYGq
CcQXg2LhaQpj9RaHfjqu0COZ1xxxkm0UhupWoD175vSpu8wSJbjSBpejWBrZdrcyRNFBfQyM6ylq
NJ/jkAXmgfwror3ry1qxxReRz/3ecivrJlB0ZdtWkX5jizy8HAzzIchrSmt2RNrQaPYq1v7a0miz
wvrsqNCOHri/4FmO6McJdS8laqBO2ZZT5PwyktT5pYTECra4xC8aTJnPEULDddjVhlhhIFHXSiup
w5bucj8CNbV8MY90/1vuZNuPGdlAlboTrZh2Ocf1yywMjTsVgPA6mBzRM5gpto5dNNhGjeGbowX9
Y0Fg2knNa3XXx1pmAVUcYw8tQU/KFFrOHyKFE1bnXX7V6ePw1Oh6Qe0hdK9HMet3mSundNW2jkIo
jTAvfhs+9D5dKGqNQzBcUzxNkTmcmgnAx0hv+Gpsa+uSkuB0RCZnXqSVXmxFDa2SlHLrtpqIj5Lz
NO9IJnF6MqA0BkA9zOKVaYE8NbNqF6AagxRAGhY2P8YvsOmDQSWK2EKJH6G2u62bPkHIZbU70bMI
pUrebpkapj+CzKEoVLVbwoPD3G+rmGh59lzrTjXqi2ywZkJFyjq6mzGbhquwz/iZZhDRjnXtgJ5E
MR/4bcM7TZTzYUqn+sJMtMnLgALWXoJpNVmZeYKak8PCpkRL6NtG6O7N1i03YFDobKmhssUkSSxS
YenMCQc5y4YDglyrU9PslUal0UFJcNoEUaCsUVyigNZUCuR9ILkPY8kGRwNNfENKTP081FKyjPXp
KSsNZxsl6uRJVoHHOHbnddnb9k4CLHmx1WLeUO0jxbIQxXZAY08ekpJUT21aimdpF4QMZW4c/Grd
LnuYCHa5dtF/H37/da2wTPoCHFohHlNEmek+XQ8w8K5bZ6KZjcthWjOHZ+4uWF2DJDjKNMuQMB5T
tg5gaL1u0tylYyXV55TKzleborLfmxF/1Wh0xHKxNR2LKkyQrofal8Vb8z0B3/rQxzm56W5XbOna
BYjqhMq3Ws09fGaup45deoDF/oRcWO6x0jmI3brEhIKakh4+LKDhqemvXEmLfFVQsF43dGmOVjr2
R6EszY1JlCOgEqQMRFgJCid0YUBLOH1+AKtDdppdWrKjizzPSGeW5rs6Agd049S6FTglvsm2n0+x
0fLoKpITPbNyCvYzFkp6ehEMSx48dvvZQZTQ0LEmsEm5q2JrGFZYuuXa0WfSv/Fa7TtcWj9dwd9O
s8S6zdH1XwSCbLHQaluf9lO/vP2Ks+UgSi+uIl11oOW0LYraunVrS1mT2kV8upTFNkxpRTXLx651
Rbv6DRYeLFtZQ3p3vdJtdZTzeAL0ZjKeBPjJNdDBGR+akR7QsUDxUQ25zg21eEn4hu+1VoU/llrz
AxMpvCFaLryWSefeFknee5bR0h9vqmLrNLr1TXIWpRAda8FlNhRsxducBE8tUMYbsCO0BBS1f0EO
q9yjgQq8WcpE+I5i/fM5pXIMfk24H9ajoQ8b1QAthP9BuQtBxNyAl5kOCdGSa8Uc4+9FR4ieW/bj
RlE786veTcbXvlGMr4lZTVd8qawNlRXFn+IYZWtlREBHaCPPOAq/lFFe0EYm8l1J9fHq912XJtaA
snXIgk/VDdCGkg9fm1wAYBFUkKPSA/4Cl5GJuBnNUr2gIlmsCzeR+3ySUOBqenJjoxq8xDY2wk6b
suvAEeFe5BGsjd9zeXbEfHIVg+Y+xYmL2YnHK7stIJVkNsxkg2witEVFeq3WSb63ptH65gZBv5WB
apgrJ+ZjqM4Gj3+u5yMBAfNR1K3rhQOwGE+d0oglUIgv4Hqfm3Qar1gUpr1WBcW13cyzj2Ubrt3U
VtODOpamuSpmmI8zQruNLTA8Zi41zi61k2udcNQN9q8UERDpIAisxhtB75aWWTVeIwTi003JXSIZ
LRWyRuccB44mMHCsHBG5a75N/Z6IxnmgKtxWR2RVhSABtSjvunIsNmSrgYqMC7u9EIYmr+twRv/U
WT3Sn2w+TgPWnTr4XZIkMHlVp4Vy16oqxh8n79kxG/TBs55lQw1bXk1pUjmmcUE33ulxRi0M0K0k
U+tB7ZhOORjxg+7G4lkNjelo5HXrG8OgPpPCqXX4PsgaUoyW3mXLi4l0WAOAADmpSW14scjT146c
mr0zaX210qe+IuXVtaCaETrKSgdpZT5hqOKdhzFVciDlD3doHkJalUHUX3ZE0yIwT42bRBcY0cjR
CnatSIxtrOrzPnECazsQkrFc0fWCIfFm14yuxBxrrdfF+a02pri4nIQ0zIoUPM72SPl0ExnWhC8S
UlNR3+q9PiGWjpWLMOhvumqy0V7UkTckyotTS3sjjOKb3tEKz5IpuOQyUh9OESsnfJRm4zjNsC4x
V2/h2PRooQJ5YeBO7bysVm3YxRFkoNnMPQkxXsP9DzXUyn/YhfKjnc1rYOP6RhuHfNm31Xsnskki
meO7gaxtDwZ0SLhZTXFX6T0MHQWwFo53bup8U7ASejLRKd3ibAp8ZwjDFSJ96auOhEZtVgb8YSq+
dHfRbqw6HNKs2MVxrIJjVUShlxKqsraghMerUu+77YJofAy73tylo8jAQ3Vjj5t6Lm8rhJ001EO1
RmOqRWTgWtVNUaTVN5yIS0F/QjKkVN2PqretW1s0xuhnaB32XY8LGWsYwjskWjsFMfnol2Ft3BhO
M98AFmpuqxBpfZ939uSNI8wva7as9Yj80QsQ3W0zd0426GuoxpHMcgipD9MelPWz28z5haApvoPD
Y7q4vcoQYdQGWnSaXrTFM9t78X3kOH4Ubkf6aaOZ5amvE9qxWtkNNwFes72coiVyFWq3dEhX1XLi
51epq9A0aBqeoj8G5rMRwbr2euhT1wbqpVNhkt8JWrP5bjXsr+iORtrV5LjyO2R/+5CiBfgaTLYa
rEiM0x/U5Qtp4SWECutEOCSK7iKKHeMY5a38WkhyTyEGDofMDPsLMHvpD2kkQUQJnoeLDSi46e0q
/5m3NhmilsDS3SYliLegsg8AjozLRnICtxQO2KupL+gIxa3RrSdFGvd6YZMBEgCyRmXUR1elMr2k
ve1807B2ovWYHS8Ms3ljtlniJT0if/Z4M5/CKI+6VaeMuAKnhpUsyZJdUvWENlo49fyMr+1h4lTh
lwgCaas4fthWs9/G+Z2Sxd/whVHQYpVHZ686fuFOHIpF9bXRE91PrYzqBX2EukN24KINdK38rkyB
Iso50/ZNE7CVWhORG4S6R36F0yk7vR2UfMdxyVJeJpl11WrAKCQ6y3mQCm0lzp3OllMM2lYlDu4z
XZG4Ve3shq1i8jRC6r5P6rT+VnXVaG8rBW8g0apA4GDLmwHth5QtjaHI4mToYsDjWsbjIwEUWr/q
oKUeeq17CYlhgC3miMvRdYoLnZ3tj6JS6dPAUPItJb2aS9qZmD6UbCtTQhcGHtVl2ldDtHLrSl5R
CAyvEjZDKyitSAYdx6yPCCADD7yfhv7V/ikLlTwJvmnuqrO1lL6wnA9u2XY3qUqRwQiz6IGYBZ0P
ly3WosiDUwvT/Jky2KORtMOjMY23c6eBlLItOnRKMYhtUs+s7JWiI8rqslvYa4P0ogiJhqmSg4Qa
u92QOKBucJyQrcyM3ykYrrZRZNmXWmpNLC5NZ++j3OVsmkDVQn6H956VkIhcJdw44WjfcdThexK6
+WOQ26pfhe5XQOrDhUpra8tP0dBe1PLWiI2fduY01z1FrecQDe+mTwcHTa8+JUeXKPIt7DruGBYa
6AzJ2FBf4abogf3V7iPjLibJdpN0izGloYGKJLT3JhTC4KTMrdQj7YYzyMMCFrseq9k61DWSUDlI
C714ETyVLl7NrBkcyoSoOWntzgWJgZxitIbd7diaGJ76ocB92YbscNGC5bncS2fKT0GsWDc2ennf
Ivv7SkS9/kuERUGoyVCtmy4OD8Dgums0ttFlZqbmrVElbhF60xwo3fekUNAHYRPPWW7XfaVX/ixH
9RQEnbUj0brzSpmW26nXs1vJirvIE6q16/bqtsm6u7Ajc2C0F7JRWE5bOTSPkVvYuwTlrzewETyw
kCq7XHf7S7Zy9mEg+eCqDeuU/W9Z/OqQG6MLkdWzXifVd3hIXc0RoI7S5xI8o3ohqi64IGsk8amW
kLgRttpdhxwXmQNtbfcKW21I6xtN6LjSm7KCu11QRvacqHGviqnJ7oocszegXncbxe3SsnfzO0tr
sSjIbqXObFWaWm8OKnnzICbzA7IG6PqmySGp7mH/ijTZwyoTa44TOwUdzYH33/xm59ZDHrI3NoIy
BDrfZT7ljh+tFnd+qU4B8ge+r9Mw7FDqPdkcQcZkviR3HIVEZlE5o0ykdI74QVLrcGGUyPmtWqeQ
ksLwDgOx6zE//Ios3bzBFK+d2tH9VY+G8hDy6t1rmt1EvtmWNfjPZgz8lgwvdCBmuSX/ultrcV34
lgzRIiHI/yT87W0VFDcIdBTMmpRCLUHr68/6tt66MOpi6q92nWQHkff3lsu5PwS1v3JtCvkf113f
60zg7lzgtQvg5hxtg0VeFQqRLTu7leZdrdVbTgDjusah/Um75bed5U1RG/YY5AaEs2/gIe48/7Oo
DTOBiO7fRfop6H6O4FtWSpuJI3UleNTOrD5FwXKiHKjHfXy571XvsbliacXyiuDmvHtg63IeQrXZ
6XZonIB0UtILqZN+PMp7N5VHuNSwgV9o57QuA4R7Z+T0YH63QxC6UY90p3EljKT65Pm9d0FQkDkI
6ZTm3KWJ+ud0SYHY9hNytN0w1JkP++fRcsrHjy/nszHOujuQHDTETcwRocnjjAjQcPLTx0O8Ozl+
Q3MgjKE7Vs+8UK6bOEOjyWZX8QE7ghbQDlpZUC0nbfFbpNBqqYseKVBDrZUEHXVPLNtnrZ23r56u
4pfUcUmrLueXs9aOYVadTsovmY4CmLkspeUNIq0vM8LV92nlFv7HF/32vjIeeRguiyk4ufN3D7+H
6kyVXu/yYmSVsqaTHQn7k/Xk7VyEhE54mkl9R9PRn7yeIG6IsRFeb42lLFwUICWy2aq/xNf1Ga/n
nZG4CAfrHPA2HVzL2UhtHBPB6ZQ7lraC7m17oU/2XdUkDx/ftnceEwxpjbBmjO5Lx+j1OFaVpwSY
2+VujrHKZE+Kg9wyLby4Dj7J+NXeNhuXvOt/DXW2XHBQtYLcYqiud6neFQZBVgP2ndXoQvis+2K+
n7Cxb0GXB0CcDUp8alMH34lMU9bEZ0kUsHaB0YSzdN7oVMFyY04PppNUB4lefI+qaj4GGZtBoy6g
N8ApWbO5kutMk4k82H02Xg1lRxlr6qzM46xN3LMVz59c6O808ddrM61MivsqLwDgqvOuHxFRiu4S
4Lcjbkl+xRGvXone+TJZVvyUz4sdJoO12mTB9wYa9IYceA5Oo7W3rHwdIwPHkY/aXevu84DdkcTi
U5T5l2pwjjPhPau8TOt1m8KnQN1pr4Im0bUVWU39quk1+wAStPNGogt2NLgGX0pHw+eVJj7nePsy
NdAyJClO5ZH1mtwNpKg27mWDlqrL3dIUNo9zqz7bwVB88tF6Z65pZGai4OCbxXf/bK4FeY/br5m4
L4nSXvbC1fc89XEXJk1SLvagYffx5H7b+dWx7hgGplVkL+5557fG2d4PVV7i15Cg4uMyX9eEV19a
eiW3gRPKy4j6y50Ru+En0YfvvL60tVW4SWhx3oovmhADeNRZxY6z7vSttwbxiN9Z3AHXT17++iLp
8rIaceDhf+c9dJojbDqnrtjlfUNptF8A7ZSDW19JimZvtWnseC1dtmk1aFTuPh78netkX0VqoWoi
kaDZ/Hr5AByPvrIsil27BJvD1L0Lx5B+bwJ5/29HMpZFSqA6J1IS2uTrkTgItiFgiiVQ3vk6TUvg
joMvvYEH9tfTlO0GgimEUcgw1PM8xqotyy7sO3T0osNea1F90ZPrYTAtSEPWz7+/LNw9S3SJoJV0
/tkiTLEioQDRPr11fadUU1HSSKCwC+MubT+5h29fQEPV2drA0zPpap1/vmoaxDDhc65MMe4iXfla
z87PZNTvwsH6ZA+yvMuv10CGQp9jcWms+W94c1DgpkKhG6tX2VqnYOKWZrayM4TEc9EjW8QV8fGd
fH/E3/SVRQB3zhtWjMp2sHulu1r0h9StnuBw3elNWq+6yMpWUad9Qs98O/chWBJM83vXwYhnM9Js
OXdIzHM7pesOU9bvyGO/ji31k2HebmyWYdDI6CipuZnLf/9Do9M76hjH/Gik6ppyp9iEXuBZU9Yf
3723SyWjoB8n/YbEJfaNr0fBbTUWxGJjVNc51nLc87Kk+2UX1impJV01Z/b06TNC7RsQHEDC3wuH
DbIZ/u/5qxbks3TRv6Q7l3ia1ZBh+PEKQlyPo0urbi7oZLWIscmyLo00AiaOI6VoVXsrR4LkMppJ
m4Ft0TyZ9Re3S1PkzRWbg2VbUONnukAbY9272mDtQqTBn6zx7z4Yx10OP+SjgBh9fcvoS0YZ5c1s
R4mqWCeTmxyUkWLHxw/m3VmGrhLGLjHlb7acuVHzGQnLbFdImyzNst+pqbhzbPnZruWdFxZUMHtb
1iG8sWcTwCQesajqgoVorHS62UG0Hy113Hx8Ne+tQJC50SOCAET19eaeqdqIfjhFQdDiUrT5TI1m
RzREmz33ifH3u2jOjMhE+WQQKQOi4vUjcmQMoCviFZ3S4Ody7xpiMfIm+PrxVb338gCfgLbGHeTC
zu7d2Kaoxkteniw2nZt0EtTZA/MnFddy04Sm82PIqmSPiuUzXul7ax6KWIN9NZLBN4ce6idqpBt9
ugtD7VoWytNCoK+ShwpzOsv19uPLfG/Cc+zRmOwL3er8bmZco21Vbbqrwird5pZpn4gJVvyPRzln
9iJc5QzOzdT4HOnInM/WVbfTRmycdbpzukF9iIkE3CgojoFT6X1Ggd4e7jGjlV5Xyv66nooUf4+t
byMHYdc8VRbdpaTyRR1062xwaMp2XfLZ6fY3Xuv8++bYYskx46mz/3k9s5qgVU2YkHxtRoNaoayf
hHRLD2lJu49t52uH7Zu0g4hKZoH9MR36do+l+RGQHEavSh4qLHN7qkjuiqQskjEiruPjG/nOu0Zj
iy0oHH5UlucfxMzmd4hHttvQPX5Ws5BE+KGoCjKa2BNktI8k0+9MRPFbaEj4EUrZ822MJiZVNRzJ
1j4QP1UKDtAk1Kd2wkBEuGmyRjMsP9lhvPPSCUHZnh0NX6w3+ua+yaaxCUsuLzG/EYyleBqte4qZ
zbzStam+r5uh9mnJ9ru/v1Yc1u5SkWKDeL5SEkKE5shpyx1ntavawhltNdkJWXK4Akv+MDlAYD4e
8b0nyZaNMoAGRIql7PVk410ZZEtQ6E4BGOxNoqc1CVvlNJBTv8stDtIfj/fON4cLZA+l82Fjs3j2
BuYBluW45NaOpJCsM4NIbxUcra8ji/t3hnIhUDugghHdnX0QKpuEhrzgiCbcsrgxsxqjmS2tixh2
6yfL13tzVOeFWnwIi+RZe30Xe3QxxUxlYNfm3V0XlS+mWd9lcBJWcVifALPIvz4csYBhutBMcEUU
V84emxgpuGvtXOxmDU+gag9fmq7xCXC3PhnonYUZbTHpiTqVZ2wcy/P8Y4tYzQMykIAjYBaaX4FJ
b525vvtkSuj8jLMF79UYZ3PCBbRGsBhjoOoVKyOOq0NrtuYXrbOCVZANpNiEKhiwocGSbCXhfTk0
YPNMGjadg3lqEB2SqCKm3QNKBjSPEGs8oBlRirI5zIYRnTQ3JP1l6oPvQaUW27xFocHpFopHH8Ia
Mx3U2urCWRUNgr2EHt6XGaLcg1qINt2Uedts1b4OXA5QY3idZCq7wzImczuNm+totKOtaNppn2Fn
vOr1KD/2oA52TurexWXaetzhFH4GddNVhFpoh0IJmMQwV+uAYGMUg+kSq4NTHnJxt/n49r43N/mK
24J5QrLi+fpJAFUtJ4u5iVbwqR7lk4Pv0dCVDYDddaAM5b/x2rHnZrNH+R5l/Nm7gOmwqPVwKnay
jpaa0xVI4/0gi082r29LfsRpYp+g8EeN4E3AgDGmkd6MbrFDSXqqqrhBOOT8qCGBl+GRrjRkIe0x
bIpPjkz6++NSpeWOcrg+35C5VV6TAWtSEymn+Vs0qriEGkM5oXZXszWNc844tZkHa5n2tZ8VKIWU
rmAhr7V+byL1NZNB2etqp2wEUDEvQB3GhKu2GD9oY7nJsyl6DuojeqDUnrF/S3jDcQ9KIBTBrZYa
LVEBZo23NDHAkMxVuE74fUiPql4QfoubxMnmLQlh9QZHF/8+n00vamWythVgHbVufvYo3lvTLdD2
tosfgQey3LI/1ogYvF9epH0B8+UJC/ViYle3qcAs/fFMfm8t+mOc841RX/U5+RiQShwzU8lFtzov
hwD18SDvfRAtciLpK9BvA9X/+mLUWqvKGmP+jqaT400mTCZV+1qmEcLadvrEdPbuYNQrObMs+bDn
216rYTEqCKBHhEMCJf7KbW9UG2RgCCpl/Mnte28hsCj787XAsvdm85tNk24lSCnwXTcnrbUtTwTT
V2y9LzLGvBVZn9xJ8d68sDklcYDFS2Wf92nmtsq4v+zTkjGLsHpo4uDMzbDXqMX7pa5EO6OqJfZl
V/8Sq9DDpxBlc1jGMKNCJ924QIHubXwBaLSDEJv9x0/63V+PBZEyEvVb93xhhAXfKmnENmeoqxfd
DR8irb/NdJrJ/8Y4WFZRu+Nee7M5aHuFHFFEOTtOohXVHPlUTMp/sXcmO3Ij2bb9lYuaU2BP2qAm
Tu89wqNVNDkhQh37ztgYya+/i5FSlTKkkl7ivckDCshMoFCppLuTNLNzzt5rw2Xv5W820p8dW2lO
4V4jgEjw118fXYswJfg2c7HvEI7HLTo3Vd5IMi5S37jKq+a+yMVvGhU/e4C/u+TbA2s6AyACaFrs
NTXuor76LODwRKF7lNXwm5rD+tnzS0XKkIzjI7Xwm7qoU75dz6NXsMyY0x9dXH8hntMN4OH4Ae3b
KNBqLQkKVuRNAiVhF2nGIs+SKH8g+DzaNFUew8Zv972JbBlrC2aDuJN3ZFBCSShzIhjD1t+OnvIf
fIdVc+Vi+F8VWjtCQlxam5X5RVcmmnaAVmOt48Luz3gS603HkS/xB7UqJivZ9MVkkjxvOGz28EZ/
/TT97FcQi1OXFgfP7dsBbJ7XbVsiUt7P9UwI22yQ0W4/OrVzomf62CW/TWH62S1e7Bk4Bj2arW9/
9jo1IhIEeE2SRmiIY3oJHZLqd22BfAxXQNryh7/9FdnXF7exwIjzQ3Up3Mkv4Ajl+0xE9iaWk7sQ
62fQiFX7mJKrsEeH9OHX13zVa7w5hKK9IYnY5BWltH3zdEUaSBWXWMe9W8wiiFXv3tmxMQSlNTkn
4Af5Q20WgDFsJFuvOmU/7vKHop+7DfAwsdOUQjL7mw9l/HgyRpVA12dZtb0fat9odGaYCbzR7Ryi
ZyPxdIsqjcjQcElc8FxIKq6DfMrJNyKScTAxk0F+bRvrX38Q6ydr5eILR45BgA2DNvOvS4uONMIt
uqTAt5xajEYWcXNi5fMNAsvSOXG7vEOXIknEZwEWMKeJbGgFc9QE2NC1spROkmCoP8WEdwZmN+tP
HItLqDY8Utgmsi3KHmeHLvfzhCKTJXvY2G4abxAM2msJzpFYgsbbEGO4hGSQlZtZd5lVjle8tjhR
Jl6Ex9jvxTHXvWe9n7LfFOY/+/5MwPCge8uE/m3jiHZbmredxffPs/Euxp+7H10oZImhxdtf/9Y/
uxTqS7QGuNHZNt4cQBg6NU2xbEuigl1RN/5i6Rnr7CjiPHr89bVe79vbp37p/lpUr2yDb8v/UnPz
XhUJxcHghP4KzjJwxXm2jV1YV8O6hA96Mio9vO5GU51NU4tuzA46EuHt9Y4Idnl4/UD/r8EM5JHL
qq2+dH9FMbziFf7Nafj/CN9A80XnnfpXX2wBRHwFPywEin/+4zJp2+UvKpnvIQ5f/9w3lDJx6jpv
KBZ2h/XzlZf8LYSdOHWOYbBHeN7KCvHxP/+xvOVfcQ2W/o7VFlOeMGn3up7j/x1cA3zmNwsXU1RB
F4tDpmUJBjFv1gsceI2T0c89FCm+Di/CWKWZLWiTuSDAz+linfLQMdB2Gh0cIaOZsB4MlVlSBlfT
+znsm2ZFqrEJ9DijB7YSxoRfIguJUwPCmq09OpvPWLPkbK7aNOnnU5h4Uw/apDaxB3XzpfAifc+n
ZI+aYsrF8xCX2MhSn+SdBgnMVsYWdq6Ujs4tUdNeINOQ9oZSBJx4ixHMiqedR1rXsXJGfFBuOZYX
fEwqAvQL9Qs6jHlL4mW2LnsiTiYCUOH1xDZItH0+1VEv74xw7rWjDyTLAPHFoe3TEFmRu1XCA06m
D2GUbIo+GiWkIJzGz7EuJoT/AmpafKo6izChlQJJpq4b02N38SIMBecZIby/rZgFRLdo5Fwyq7IC
2HkSFTownBbs6FqLGaEeDHv5NyM8LN7TKDOcTZBnSejSMkBtLh7RLAiNlohsQ/mz5QdG5hqMjVeF
G+oe+etl9KGYp+hq8KZqU+lzjhjYm6DJg/v0n+Z+7DSgNmrcqLLxdr070xNV45ImJD86aTOcPahf
bUBig7XPyWwCo2ZWa4UJ6Im2JvGw+a6QhX5ptD7RNGJby8FPOdC54IKAOjV2U1+jgjV5YGpPX3U9
Rg1tEuHNgJvoPSyi7EnHjsTst4wDi4It6JLM+ayVY3pLKhgcBQjzyNw1sY1LI0ErLKzn1IF8qWiW
rxNPlodElOQ5hAynDCO/jfM0uxlGIPgrT0NtUKpmpxnKhd9UHkYx3WM/pUWqCdF+cCojvC2YAa1H
IIeHjB1yoyvCGDzE25u2tmHYzkkO0MwtV41mxLtorMRHN8pAyEq0NdcD8eAv0UArhSJo0s9i8uH7
4CPTjlS3/CmyI/QbicUJR00zP1hmfp9qtfmMabmOAtPOPiZIUx9cn5fKVpa95URmHyLIhPQbxuIg
LfU55FD7MgN/3YgaTe5qiKPuBULrJp0TpIKxsldZrU6DHTtXedbmWwsXOYy7KKz2knCdA4Hi7mVY
efg2zN4/G16poG6p7iDSLD+U9iSAtFUY6/oqurKUU+0zq7BOKsazRRI3WPKodmjRxMa5H+r0qSnj
9Jk7mu/GsbdOfTXn+74s63NGNfGxjjp096GMvGMirfm6cboBLh2BkSRu4wIOa98DCtUR96BpUI81
a0wuEcZaN2LWXVRXvBL7fJQh9GU/SY4l7MCrHqbkxSCt5BGz44iVmA7FZZ0NyWUXZ809pn51xzGk
PpL6Xm60MRHP1J7pgxzc7oRBiVPK2Hsp+mhvNrdGERfokUV4oB5RO04z0VpPhb+VzeB8cQbZ7FDd
TY9jajI2Fvh+sro4dE54iTC/XNPy01fqlUBeRgdT1KcJFghUWgu2mN1/6ktF7FHGvFSn4brCNFSB
ZW2HncRitjVjjB7z6DYf6tDpT3qjkm1uT0nglra6SSvIgTGNzX0le+uGmNHpqa+S+aND1vMNP0h4
NZJs9QhE2QgGWxVr3pNuXRVjule5ne5qO3UxhPVV9p6eWk7WmMHboi3NJC+rP1ka0OjZLwBAjqFu
bTgE2aumkB0mchIf8TFgOU9NPJ5+65hfZjOGgq27ITEsOiw6Jo339ZgNl3FYXNdDJ85mZUZPdCvy
3QyzYTtaE5FK+pTol26S6Zeiy8RZA35+AzmiZ6NgZn9RVUa+E/l4lTd9TWYEL+qx7yN7PcPoxTWh
OrhjxIod6woqXOS7OGd6jN89OSTCs1hqANaeNJcQJRNz+p07wScP9E7D79G408c4VZgbMHDLBGZY
mu7bqW0+AHuHi55iIhwzwlMRAfyRQj085K1DWiVd63tDpu1thKb9bIJTRelAzN2Ks2jzvi17Aa3X
my8H2F4vddVD2TcMdZsnFUBW3h7volRq+jQBTZ0CQs8cLGaOOmpRMezC1qCr3EnraALe2fpJ0zwo
x2mvRweE22QTXWUlY3zDzlY/u6KvPvhd6X2ZCC+DVd21EW3F6BMAyXRD3j3Tzq6me+33pwlTxZo2
Zwerlc8ZCK0FtobWX4HZyYcXrMBGHgymsvLAnTUypxAlPDAN6DaVR9Y7VXISBo6bZl8wODVb6uzm
0Y8wtm/sKio+WFHk78pmDC97I/RPg4/PIh9neYiFD1U4M/PVZLK/AUTt8nOH2vcq9YuWNBM82T1z
MKQWWncZduRm0ewEN5x7wACHsn+kWiUJraawh76ujT4uFdXf1FHrX8z4oD/rmAP7legTtmvBb4w3
vtPu49hxn5uE8fWYofsAW4aSbVm0Ge3Oc0jTVverK1D01pmGFBI7RNvrzM9xJaWh4+88oBTLM6ES
KzCF1gSFwdB1rDz/JdNnOneJ9WL3bXWpRaVz58MSJjZstC5UJ2yWwcm8ppTWgygsL5cbeGwgAO3m
rg+GqUzWIm3My97vQFWYmDhlXAIagvHy3vM7TH+eBoW3qZyd5qZwYAUBdGQbkr6SAQHQKqs+gKNu
bzwnsj92scSSanSYv3o1iDvDIdOhbFqCaMhHu3fCNLbB/dX2dRY2uNrMYRQwLEpvRwxlFSjduvBD
qbjtuKcJooBwa7vjUXSmvyG/rvkcY4zuYGRB8g27xtvDDq8RlrVTUIZTe13PeY1aoW72aWya+5Gm
czA70LGVmsW8Cw3pPXIWMO9HS6QT7i3L+wKop38uKt/ZhpgYnSb3NloqbiwT5zLfT+84dyjaNyZL
HqybLo2PqpbawS3NFqs31NuQTbuZPya1LBpQ+qE6mv24diq2N4Y9EY+mDZEuzZzrkLPp1mA+eOrd
zE4JBpBeurYQraVw0u3+bMGtgFsoH6hxiqtB0ZcNQmjfO/a7cjvY2BKB1U5bLTG8vVnl/pVneMyP
dC955oDmAuxN4dQ0U7jv6zTECZwJTKSGNLKDk0dGwJOdXysk3nGAMzN1oA2ADCHgb0Ihk6lbV0o8
VLOlDq4+lVdd1sCXzwk+5eEQHmTaOd4g3TJ3mc6yQseXwzQ2aDIEOlNXd4OeR+/1rMrf2yZnQCxD
sx1ACm+u6qwTpzlbFMGREx50ryYGJNJTi6iKih1s5Q/hIekHYJtjZKXHtCMhA5+ikfQcMUW1Lxoz
aj9bReq1ImMMMRkkPViNfxEOTrYmdU5iHwK+72qtdQnjdjqLBo6uyJIo6KJmPMalmjfo3aOn2fVP
qe3eRy62pt5MzmQVY+m17GORecYfCZrvlZzozGGfxsCE3ejJIHrsMKFVWw0qttZNDyCjtuYXGU+Q
J7Ubv6ZRLOLBXeezQRZYA1y76ogi0mklBJmTByMlwinJjWKTM0vktljbfiL/AdBgv7ZyDjd4Ja8G
O7EuW8d+NlqY8uOATyrKsnydZT4o1yLnhykUKOcChTXxNvWKBMLySOiABT7d38ZROR1hRl/F9A4e
LFnmWeCPFcZ2t5RbA9ltMGvjHIRZb63nagKhiD7dg3+5mpPUep5QzcGNncGKC38nQodELDfOgtot
yW/k8XvRaPASmhXeF13r7mstnI7wh3X8q3myHiJlB7Mv2ebaODkkCBi3U9vNQd2GTjDZvVrVVRed
Sy1nZ8/S6crR+XKMjqBTgB1ym1p2AVm7v9OJvu1RC4pSZkSYmJix/DiEiEPoj0nvJ4eUmSpHuNGD
Lj37rNJOD4wCVEPzkXaaX7Jl69lv2lhvWyvLxV2G5kvWO6PQt/gzgnikO811cjDGSn6cU6aDdZLH
V8xps9vvqvPrP1so/4Nr7JppRNf+8x9Ll+b7xgqXQuHA30v163tvNcUJQTbuGBdcqjabcsM7gp+9
nKLq86+v80MHZ7mQjUaLol+nO/52hAS3ZCJIxIsOfQ32N2YWeXAJHNvkZdJdNzKDhDCImFCDyS5e
ai+iolZzFF+hwluKa7Do5ebXH+nHW7xMU15Hzssg4q0Yotc7WqNUGaShlvOlXshpZ6VQ4lc2SAZj
rUex/Dj2A/cZxMKfUsP/9o9+E8RlYfanB/Of+0fvu5f4+8bR1z/wtXFk6OKd7uiLxv918Lk0Hb82
jgxjSaSkN4iEF/wm/u9/9Y9s853+LyTot0aS9w5vCspl5PTOoil1/k4j6XXa+t1rxNABxZeOz4uH
nN78275r1VRJXE3+dEmzRZtZQlU9TdvCVeKhKGzrkI3woYIhiuoTa3X7yZimZDcuObGv2eqyUdWJ
gS45t+QfbIrEGG/jaXKui9poMeZX+ZiAOV/Rn+4hcRQInkJF6uA0lkQTiYFW+Ps4HEVR7/sCyLIb
qYHcFThf2pUobIyyxANKrA80Dyr/i1WTTdPvAaxRZB4irzeS8BB64LKPULSb4a4e+JHvtLLyzA0U
F9MmakfJ+cRvaVssQ+EY6Fw2XkHCok9TmBF+fXsmr1IWtBN6lSdnIofjXeOZs0VGgRti7TXBPXWV
tedLVex6vfaB7PPk3k9tSbRHEac3HAzO3SibA2ewCDx22L8Ig1AP2RYhFO9MUj5yAghA0DAGIel5
9szyCOUP/Ua0Qp3CggJiZGhOJmQ7JA0p/KZzHGWDdhhVpTgkE1Q43WnoU2edVzxDLBratWN6O5PS
pN8NoV51zd7QcfUuHSbEEdl465K2Ii/rke4Kd4EqzCyG/3aU/4+AwCYqJ17V/7winD+r/zl+lu3n
6ft14esf+7oueNY7RGauxwSfgRyYUnbUb1Rg5x09XowD+NH0v7SVbeMdm6uHN8lBVu4BOP13m9l/
t3SX0ZPhmrIXieXfWR2wPb3dZVm06FWDMsYIBc/tzdDObMAeWbCt92LQKMmIJe027LEyO8UcRk8j
Jr/hLnKA4VR6EveHgc38Jq61odhlMEuyQMqBIRVncwqIsLfIT6IXa9YjZEWyrZIb6ksdyDqWv0g0
AP9GTZ2jzODgSaZMeD+apfPklsNLbkzACfLiHpGYcwcsYL5ppbivFhhYju2AUtPNw3bFqtmuwG3M
lz3APaRDjOZvW5dqr6s7/UlkRurS10rM27JU2bGVwMyrBcj1ehR7ZV8xph3PxViBMtfAI4UzA+mC
xIovLZwEnWMdoLvVUFBlR0O6oMnGjGb1QCzOrFipZht1/OsPlc001ZZJKvc/IX285U8rBKAHh+LC
37G2ozpOwWbNyPMCz6IVsmod1cIwLBd+vFuIQjwO6dxEQZn7OjQA2u5uDZoLJS+rqU4kYadaeRg0
dPizQW99RSjQtG2TTiB1q5gkxp2QhIYkCUwNBXoIcYrfL1Hvkfbc9xZFdJcWdCN7y7hAGSv0nXIM
8G5ZTizBEPXGkyx8zhbZSMXPaTwer/w6177MjBaD0cJqmsVj/EnL2/FcY3LbvX6+dvlUPNk411L+
eTAB5perEjZigPCrBNclgbX1/QTpzK+BwFX8yK+kuHIelkZ8l5gXkQ/nBChIl6HeI+s8jvdhbmTz
3m3p1WxjxyNkwJoXGFAakn5SahVYMrs6DNLuTNq8Q7/tksh8qhkNuFujnqBS8qhAbu4KngVYPce0
B5rG1UnkaVsn2djYXe6qYs4fJKbXu7iW01NTx+2FTyDPfToPVB4UzO66KRrrWELIOoWNHT8iMCNE
XDDK1mputk/LhuSizkmCgeSlIJ2ByjmzyUiWviYNYach94hwP3fJGJuf51JNO3/ho5FabH1RLkwf
erRFUa0Max7JfTbBp2xFqncxBLKK/xYsiHrrVq6pTKaFVFPJapCVl266KGtvw0JMl8msssCqsgTa
hh5eFm6RkNeIjG+H4N3Yyjy2HvLexw/gk1K/ylzyG6gvk8JHXaa3d11lPzlAZy4QhD+yIU1pMA0N
UJeUPJ95M2T5ZREBDA1azs3bxJ/J0fPMOqCwoFILfYpLShFJHkZeXbfuXNy0msV0Zppo7ya2ceyj
UqwMmHWbgsn4nrSkbsMQdT7SBsvAU9EYC1TuWO9HtOQrp5io+EMJ1USNChpnm/FimGXCQ6XCbFt2
w7gxqw7ukx6mM7t5q5ERZLWXPU2Qq9G3slOpKee6cyJysOKB7p3utTqFZ5GzTfuasKGaNbA11Kh7
T8OsJZehYUQfJ5mmbBrVQU7c+rleZlKcpdAVGhW6tSm13BLMoO69zI3gpddSSdJYVBXNXUMgQLpR
gxFveqgpyUrLMEvTWNQ3c9rEiFlrJLR6XT3QL512ZuPpzNdoU5L7yCGF+c80G/VqyIncNuOy3Vh9
SQmvWCiMVZ8rfT247nRSjJNv4nFuHwXf3zrY4QzyFf/sQuiZI3ns6Ugx23H7mexvP4MzWyK5X+lN
z8ww9ioj8MpaBjLnsOMy2ZuDMWd8ZcoiPQ1dmk3BIBNOZjBVE0QRdRtIMYy7WI/KANPjSzXrzUYm
k3mowsY7V1Ov3VPOs/j3kIi3Qo0cf7wSCAtl8yyvpZ+RHlcO/rpSLOamO7AqtW4fPr+uLE3WhV/E
WGTHvFqwhgYkvT/fohpYyd04s0ZJkLHgh3SW1WEJmVkxn6SrV7nljmRqeahLnIq8Dsq8NZzlQjTt
xjXNLD5JDoT0UukKRFusNFGe2e2nM8E+1bSuKjQnbU9tJX2gpa9ngP8WUL8poDj3uKhvfn1ceubk
8OawtPyhb4cl4x38Buy9/iKFRSzz3WFJvPOooSjSaHoAlnfFv4sohyLKWQDiLp4fJNOMyr9lKOj/
N0HGXP0vHQn/tVFA78Xh9OX/IHAyBtgguh6x/fjMf4OsjJwrS6r6/Crm+u6n+Un34+34f7kWzAeq
/0Us9IM9gUOTxuHCKA+epYzzPEzGOWWRe5j4BS6YZIq/2XLgetBq8P1jFKL38PYcyF5oerWvc73C
yGhw6HURrkhENqh6qBLLLqRZbo2+cQ+Uwbz/9Zd9ewjl4pxCsRz63D2CYZZ+yHfy50bTW05jjJJn
2XWfED21Lslag38xGTOJleEsHkIo7r/5yj/5iSFAgEBxScT4scvSIeiWyveY8RbGeA3irvs0lEVC
7zOR43WkE5Px66/5wwXpDOC0ohB3BeKBtx2tVNfIGeJQu4+1sDp5y8gZfy1FtW9pf1jh4D7/+no/
+uBID8FNQxWBmRMl4NJi++53BSSuz1E4AnSvRiTAmEFak7260WlRK7ssgqlPjLOf41r2psy4Zfha
PpR17SlyiTPgYZHXerckOUPFlIPTk7i6nJSMUYxPk+n/5ikg3OTtC+YhWTR59zGlUzW9FW6B2PKj
tOj6veMh1LvX0H6GpzbK9WYbVcv8uokMdWRHnvJoBcXJuOcdnG41EqH2ps68/5i0vgWAtXZeIquV
7gpzOc9SG5rVqYC2eh4J9IuPg27mxQYdgnEuyFksyMUElEr7vEVJo8mE4J/JnP1t7YzGWZOeJjc9
w4VTrU3jrdHRGwkTEearWSLd/eCzw09rV85wJf2sMdOTtJzx2mWVcKFTE4a1T/VBeyTOV4S3jWTH
JRg7bSza8e2kRUSwzbFhfOYpHRnLGAkxrQyLxGDfwL1XF3DzcsoXXA+rgTLT5HDGQiCngvd0HNrx
WmNcey2yRvrBSJLpc5+aKHukbh0w2HakWw1D/YwBc7jW25YGumjIpgyYxIoNKX7Oiy/18ZZwZhKd
iiGsn624G2819Bb3Ttf762ROnBcH3FV5KCcxPrtVhwzJtY0KA3jojLe9LfmmnLtR76LxawJRJuED
IXiZXPe+cl7ynt/Rnwd+N2kb973gps1+Ix5g0zsvruaOt0nUik2D9sHaIuDpfDooWlyv2iEcb/98
VuM0QncUW4nqL5NsbD/labW0RB2+rAmEtd21asjnQMN/FNMtIkvgkDVaU3QrRKt+v+mY4zzGA40v
v2Y9XXdZTwZKQfPXXQ2la79UrV8/g1Dn5W8KcSEmKR7qvEgZL5cJTwZlIMnWSFAIe5q4/aDnxmtK
nFpxRDP5SXm762fi0xihRxXF4XboJTdJxACl+zhNYDvWy3dVwNpWPlX2/vX3t0lnCazeR6kLYXYt
fLidQVMK/fz673RhSLAYaH3WjTnea3zXm9jrhrWKhNj2TcsDDLGck1KXqRqNPPz6E2oHvSaiTvXr
rBl9QaAEozOKZBSaPYGORL2fO/CBpJH5RWaOd4xFdELJw2oEW5jDEF/yavkDJbGi+kEZnQfgNiKY
Oz62Ldnau0nvU7VukP2Gt3VdApCIwd2BAIhBe16Ys5iYpBPkOUzkOYCdbefkWjGUUY8tP3+8a8ty
2LWceJnXMGZbQXvXgkrPOEA7g8Pv3N7XVhhvxoRUyhDS5lYwRG/iZjwoqyHZz0+ts+NXjH4HtQ+h
jhEzUY33LtKLIK5BD7umNp1tJ3ODFtzUU6ubDZydyV2hLTAIwYy7WxU3DPc7Wh1/dHYmbJ6vlpKE
COfxNHga2AifMfwKz2zFUbqaz77so09Ny7JJreUdyyR2z1hQRLjqZ3u6MEpVcMNHWgGkjEXJrqzn
7pNI4katW62PkjUPt0At1Y3lWthDS3XkeeGDVbZdSTvCfk+umxYksnkpDY9w6xxEAyh8iyUbGxcP
ndQHHqkpc9pPscH/WLEuj7dsczzLJojGZO9qIbv0LJMd86r62aEUfFhCf9NF/VY4K2cYxltKzvBh
kdWda9uonyfCwnJyptXLWPnRQ+q4LJiVmSGW0lMU4zMvFrWvdQj1NtklCK0Pfr2wK4UIyzXbaHXv
OsWGwVu5bvka0dawCt9hjDnr4hEfi/FHITUNvX1MxOHBKiRz2cCo23FrSUNCb0dg+4HkOcfFh0hN
IOrwQml1dM3oOj5Evrj3wHo+5J18mYpxWf0T44EkuH6dIis6jyJlnXdqIzmKqjb/6LWwV0EeLyIl
obw70/Uzb50M6uBYPdHGlmpIVIdBBtS4kv5WUGVejYu5fTszbSxi8lCqsWUQOhQxvMiJso2hpu0M
q8IKy3PpafaH3LD492t2LPmeSCoz/CB8lchV09RhtZ19APsrM8p6hqZtpl0wVez56Qpi2mYK1KcJ
JMo+sUsG37Glr1O+0s4zSC4OJjNsnwmR5CxSd45/YSnm/pkxcFsbIeQmyVubxcLOI3mmpTMdJiv1
z9As2RYKkjXXWu62n/Q8FRcgYFneALbz0FAJjrdtpMO0HbXlUaI6p/EQV8bZQotBJrxrsqangv/O
YPJp3C4WF63i1hABKVgHSY/hM3k+FokEndPiqS55BEcrEoTU1klBGyNjvUfht5/igXVwgCaN0B5l
/IWgqxSkPh73VcpmUgQWw9prEK+8Sw5Mv503sY8jvKXnE872y0zV3QevS6AXLxEI6AmXR1/peXzd
qRL0Wl8r+0L1PR3G3JlhbHVa+6mEVo7QwZI8EebcOC/kUo7X0MBZpwtKYrmemiqPl4hHjxPDRF2z
+/NjGaWDYKuBA+0eQ01j+/Ikq32TS7kf4EZfd2Rk3Be+EhtjzhlP05rB4YJCqbDHS4Owd+i1UlTP
yqSldGU6A586KWq+qxpmLllSP3sA0OocvUXtdnZFYHAMTiFfKV8fPC+IRts99lmbEs/eONNdqFXO
sxsbLKyT1NIL9Bojvbq8Twl4743oXnnMvlk3c/fCRoHasi56xl1eafqx7mPtSycbkKW9EkAZeYuN
daJ54gE0N4+Fn0t28gZ/5L0lG7aniK5GtpWezUgoGpPlF2V+BCPbmdjWe4ClbJiSpeouXO5omlrc
pr7gictbbqNmNFQNnTnrRA856LSSTe47of4AtB2DG78TR8s710q0/m4gA414mETFUezf5hksF7aq
WswIAfyomZLtBLw8Mt6nPqflaDeqDoWHwXEDCaBDXJJNLneYF8m6UwiUlTuZu4L+jlp5CPyAVcv4
bBXQcRItnjb83axH28HekM71Jbe/uQWgHh+yIdaeRk0kR2IgwtXQxmw9uGf2EbLQ1YRkaIu+3+F7
NO66xGJHQ0mc7KkNg6awbghBSNYWqYtb5jLGWs5GsZLj2ByqgTSpqMuN29JmiUHhh3M5pcOyMjJO
JJ1bZF+0xHa2/lCFezFXRbLqmqFa8wYqAqHLL6Vsvmj5dCVGWx14rjkY9I1+Jbpav6JRNqwH4i/c
dir2EDmaDWfj8G50+2mbsomu6TypzWjbV7be2ZfITssb7jb7cjnmR3Y+cpGKTEPtY3Uw9N1NJPLL
HmcsGTHxdKWjvn5fa27/LCvTOlcDIvQAFiUHyLGBXZ5DhR2urcK45eRHdoJG+orjhs7R+rNPWZg0
MmkHe8oOoRGn82encbkhZBVF5NY7lorXBW7fBaelDXWgsQO3kNmJ+WA90lkh2K9YDbu0OvWNiULJ
QjR92WY5D2kRs9okruSJnIfFQBVijmyvp0ylNGM5dq9/XUYtVdJ3E1SQJzQiFo4ICiBaEG99Tahl
UsGOV+9r5/XQP4w6mprl4Pvr6/xQ/XAhA6YZYmWmthRuf63WiAbo+rTq0L6XLotxj336vmmlljOA
MEjcspfS5XU5/PV136oNuKy/DJQgCzFp+gH7Q0meW2k11nvCq9yXTitInGvJKtoqL2b9qopyunXd
eBH9D8sp99dXp2/z9tfFqbM4d4XLh2Ce9aZGTemeGC6kEAS2xMr40rz3l1UXcRSrfRfV/FOvJWXJ
cvIGdcvi/voR/tux+03HDqO5TY/rP3fs7j+PL+337bqvf+Jru05Y75hlLCZv4RJS+Dqm/KZ50N13
8IBpJy1DLmaLPHTfPDMuPTmX/wvG1NJyItf0W7vOdN4RnOogbdJfG1/63xpuGrC+/vpw0UzANg30
nZ7Cn/qHvz5cCJK1oakq6pfGlI+DZnurNp8++qOZk5asNZtYIxVnBNp5i2f1sqUyeXKHtIHPpN01
umyP/cSAqvERCNpVrx2m0HJDyPppfN2XjfbCS1qhI630hkohhO0Ogidqr0vPmawb204yE1N6mRve
YTakb54ZfejV+zZvTI7jWjZXFvOqrq4v/VrqHvklA9EqBKKJoSsIlQyZG24JG9cR7dZKyuZ97ped
Q3pfWeTGMRaja64aMxTdxot1pJlxbpsAV208KPQJygzuFiFnE62spEhn4+hVk/lgT1FLOwgoVuUE
nR2OjCpNb3IOuEMIql7hYCOUOZw0jY6P4SE0WFPaVS9pGfqfIvAh3ppBFzleGxnjVHEDv/USnZa9
BO3U8RFakuUr84QzdSawxBXxKUxRHQaq85x2O0BkHzYzMm2f1PoUVW9F1YzYirMQ4Jx9ihh5o+Bi
PE8DhwafIMZ90iZ30eLcXY19etmYZbVPTfWQVom1SzuFrL0Q0T5TUTyz1UbxYzImKtpMqMs5ZF5W
tjxhSO0f26goidVr2btGsjDKQTB5idyPRA0pzsPqecbcEpiNCLLROkRj9oBuEReJMNIjaKwPUVLJ
jYXk8G7GEEFgjkZENT+pZoGGhA6rdpSa3tY3QeEKcTvMyYObm1/+l73z2rITy9b0E5EDtzC3wLax
w4fC3TDCSCw8LDxP3x/qyuqsrD59+tzXnTKlkLaBxZy/rYu0v1q7egr8HPuRbOloH/o3UlHO5VhX
x7xPm4gs9IjmHNxY5GRdNY0OgdeudzKBI8zN/BmuKI0GpdU73Ck/nbRyIPzW+I76OiAufdYQaw/Y
ia04ypeBbpKR2rh5HW9N2KtoZOsLyb8oQnsa5SUeCnXt9VvnJBm5J5colj2J91Sya4kM1671PtPB
HA90SqafHkv3eabCbde0QntImoWWmyz5GVtxfSu0/lH06fxYlUtxADcm0yVt0mOFQJbyJ1Q4Fr2H
kLcCstYT9olzQe6VMv19QitiKKTmHwhh/VmLHI+H7Oso5uwISC8ljyae08/asmsWCfqZkgSIwtcp
5a5rHDZd1ZM/s2psfvpY4Jft6Bsy5ydDVDrho/mzVsSnFeo1KDtKekSvvaD317GGzNlZtoIi9MZO
f236h/dhdcPM6IMsnwgF6caWXplh0fNLOebDlcMqBNSjPHKW7FX7RWI2ioaRB7pAtuphX1HZuC4h
u6l2pDFqeCAIir2zoOXjjqGCVvg2VulNQ7ba3qpTbxe7dGuEBoP8E8U5fdjrxpocUhpQztTrKbBZ
q+df48LKV+xy/ddQtGwX8TjeUWiG9WTkskh8vPuBN8/Ld9twqO4S16ZrqseOavYT0nLaOvhqNlpQ
n0P4BEHbUDf1v4wWCTi5xDEM80w72a8l62Ct2WzIeLJ1DHM3pAh0b0jCptEMpA3DZ4ylfiUrvzxM
qdeEstXMA7gI7yyfwI8z5+DKmlNihq+u6bjbCep3AMnW7fndWruYVnpqLwBmTG99nQkGfHbTBodT
pn1wS72YpFwDN+U1s2x/pvzEvsl0/D8wlhm0bvqNDUtFKWVDz6XKmB2dRqTXZBaPBovpigjYKI07
NpAfbWHmHtCE5V8au6jPht/vLdcaL+OQNg+25WuPjLruh8k6GFGRxiBZ+shWhgTDANSzae7iupr3
1Kzjoomx7vUxRXVJ3/c3RSfrHX9PtWfFWg5qu2tzOya5cB2tfdyyIWltIVlIxzvMHukuXbrjZOjS
xDWCNw03shcssVPdT9ZCbVktjqjg/C9lYjyYbTkFXW6NR8vrX50lw/6tQxFTRneySWmI8sGwAPGM
pv8V12AApJFoV8sgJHvEYLCgQAyBSqbBwmaCfszgPPCWmxRC+HarW7teUh/xyoIJPK1mM5jpcQlH
lxY10NHkIH2qUwloAH7NsiFAXnoAoFacwf0124cbrhaFNz4EEmafuTr1mDkDQtZEADD/QA6pSZdn
ne9QYucB780/tgReaUvrn4Cq4rA2Zj1wHb/8WjBH7/Rt+xgMTYswE7RRVtZM83RwdU9+mvmR5eUL
UeOFHwEqn/AgUl6kNb/m1v0B9lbvVn8a9joNjvDTPsCvbdc7Wc1yPwzlfNby9nvjgIs+Hq6MuQCu
nyhAKWhwvIV60C/mzBdb6QvehbTXEfYJ56gJ1w/ahlKusapQeSRs5pRG4K/IM8CcMue8a533dQUf
rVi0QWz7d7z0+ZVo4jgwlqoAN52WAHmPceEaAJVO7a3DJP9FrLm/p7flnZEW6cNKHxqxRXjaYmyQ
ZoDUiE/PxzDaGFOog3TdxbkZh3I0upvJ9kYe7mYTOHryVhviV+O3P+0+LfaFYGAYZ/ulVIMMy7wD
JfO2gkZlq6DBYfpLDTYdu12WRwimSkiHSd4R+Jvd+2bdnHTPXC/wBHwMbv4+lDHqw63sh1NqfPGW
mgdGb23evgplCaHO2exxrlOw9WlWvRmWJnVTg106+wyTa4hVtNp32VpeSDiedv2CaYImss9Oxhgn
TccNJp/XMMk8p6ap9Z5BZde73OpqPlBqzqBsXLph+MAaXv7Y59kbt33eX2+Az1PrCn7W0pdHNcQn
p5inUCv85H7oiulO9HH25tKYyKZDM1+R0EpUd0eAddqWZpk1O2RsfNAylfYPX+RbRaujgqX3djbh
EGbYYuTlmx4RY64tlVHkk/oGSL75LXAui2jhe0baZtS3o7H2R50olaM7C+99yjv9bdDnr4xC39sV
nwQdOMhPjlnTWyzrzghelGEssfWGTCcCvkLfRFMexEJwRejlQ+v54mFa9E4POTWpZ4zNxgzR4xa/
OkUy33ajJnyn7HF1sLjKOTSNIbhlKodcR/Sz6xAOJo/5JbEITlmG0O31C2Ll7LWDjPyskvZcTHSN
RFlNR1qbWN9AhOKxgsz9MpJMK5G1OZhRtHSYTzTTKgwrJDZRNyOW+UvHhRrhuese1wkNbMzheQ1w
goewcu5Wp7rC3Nq7IBImPUOGtmZczs7ofseJCzdhdi6whUjJWFH2tYGjLFLlRNRXajVhU+N0ilRL
nxd+7fpBWTZa2oWP4mbOTYpu9bgG+OmbIYlW5fVlNM6kSFVeWhwS/ILUK049dhADPTCv69ArRzvQ
MhyXh9Yt0hdOs/yFR9zwWqD5ecyzPj7qmZueiAhl4o1bapSqUUPDq3V0ni3OVDwnZpotV6QOlcTt
S3X2NZMbQupTvsPt4ON5VGMoyxlj52xXDVhIgthH79R9v879C43YwzdoI/F1Xe1f0QHb39po9n/U
JL3jte7qrMcpRbF2KVhmma7WZ1/1ILesD930lBA3gQJQ2IMfEapsOej+m2XcpRn3wxXhr2W58+LC
+THF3uq8Jjkl1dHozTxZvcH2uRHV3AMXOnOys3PbuXFARN9GlzJShpXhsVgr6K9OVtp1UdGdGZei
2qvYK+2oXOfiNAwVcLSXJV5g27mGM7Ccyhc9nrGN80ePc8nxqkr/cSqZjbuqHT6rkoJMTbrZ3unX
5EpVjKRFNWIX7cuxfMIjTc2V7pqHCbbpQgpNu1/KnobNpC3CRlsLhJ2K1qUJAuUemF2piJ7XEsRs
a9HLDBRq1YogzMywFLpzcmfCDS0Pnpup+nZO5CxoS5j11kHg7sL7pN9lI/2l86hdNs2m+2bcTD3a
Likvm+xHjDtODjw8LLXnqu6Y+RSABVO2jOtVMdsauFpm7Iq1qVRkdZJzdPYKbPmdYx176YgX00vL
IaJgp3GPxAI0xicSgzjSNWJeLuk4klLHJayyneklVM2Z2LZDatSxJZOXVF/GXkMP3/nGw9xS4FQa
rYZ715HR2C/auZ1Uc1Jck9HQW+mlyRAZxubg/ipVbX/pFQLHQKWqzw5z2dDG6sfpGyYEstxsf7ru
uR8Dr1tXETmd5/1EfpkcCZZnBDd6qZHcoNznNZv0HWW7q73zu4LwGLNbP3QG66sJ8jwo2I/xpxJI
y197Xs223wICG8L67PJhmgxxxgM0hWZpN5GA3QRulwT8okvEhaXHTAct0ZLYlA30wVl9Y9ttGSHA
sn9gxC131CAho62MbJfwrGM4b5fdbCocq4V70ppqjGoW94c+Sf29ynXzQ9gz7s9cNUGcczIVdeMF
blrLQ5rQkqPqjSNJSzJe805On4WvjQeUYbfWLP1vnSKskVcCOaCbULTmQgh90TJKDcklZ6UFGAc2
3nHdtPvGn8Xud5RGxUWpB0aWyt0Ul3LnFzzG41nL3ztm+qD2idGikM+KtIknSTVRyAie3uNa1DXa
vDLL2tdbRmVFUsVtb60LHSGSEi8klXM+VKGgTF0xgWvFrlik/Nk0jk0tfZpy0LbJMa417t2Ogx/z
Y7gUsqArHdGCyvuRh8603Mte92/GOcl3WZU6x9xJxc4soOR0OhLOqW7ceZSjBl2HtgboPvnoSB6K
KoxyOYNd693kWqvCudTznUHmAfXwRDskvkEu6LRRyiVSiTet6d5ay80DOXoHGzmEHmC4/KYutjt6
qb6elhIPGkWUA+JU1ALBXCUFuaCUnmRu4qBMLJAOWHI38m0FgM+viIyuZILyZW2/q6x47bJxu94G
vd4NfQUPTBTEziFqJyjQWJyztBMfeTfHQUlQR8jMjExwi6codht3gWd9bi81dl6uls49UFftImm0
0637PL8Df9D1aLDnwduNjT7edD3zNmoMM2o3+Gf2uubkt9QerxA0dJ14+s+pYkXDGzseS5u6tUlr
zfusd0EEGoUreKarpkyzQIdQJNNiiKRcGshQB37E1PKz6Zbj/ZrLZJ+k7Sf7GqMY1uQlslc6fKuh
GXN07t3yMvao2cF7ri2rjJ8ZpZ5wBbehq3r3ir62KWznlcGxlqd4WmkolYOmomoc3n2jvZ6Mhebm
zHwmfyin4NKGD3fQf6Cf8F7kDAthoeyPSEkiLGqIxdNa5zC/a25eVYu8pFr11mNNPC6dfFSO8QuX
AvPfwnRUJU31KGsTFYhRnKyxsr+x5yscKcqKGq18nkkm/tU0pUbHe+U5fQDqwfA9wzYFq1M+0Aau
Y4uj0TTqGy9+H/UhhyIcaWMO/GV6aA2iyoPCi2Ngp36a9qIjfIHhvzTYcWZxwM/pP2AcFH3QWKIm
DWGM3YGMUNlr3AnlztFzRSk5o+SaJjOrTkyrAG/nOs9Eczs6NoO1gTsd9i9PSZQx4ep2o1cYHSXv
srkB5vdO/ILfyivvl5mYD3ZWc3h4KcKRRs/Pi+DhaljTFz7qoT1gJ04IahjswHXhukQxn9fUzbnV
jWfFIyks8Ikjg92wwGbrRPQHF67K2cj5nimPILuDKZiEiePhSHBmhWKB6LujO7bvibeeZy74EG5D
JwNFu459CgbXAlIna91zY4z9frJyd+dSMHpuBPAfmuMurBj1QyZTkwTU9qKS8R4S/FsvU674eBE7
f67uW7upIoAZl5SRHPe01ssDuwsA4lpqt5Npk79ld1d9rDURjGAaJjQNoPklEpVCHgNKgOVMiaFD
AZjoIBf9Vi0ovpsp9u8HlLnHLJ5S5CfLe54YIGf9YtGZBM2V9dZnLEbjcfLwNDvzMqkwG+rpp+jc
8ZGzzwyoXFEUjLfDWbWAUbqRkaep2dcFBcHgLDgadkrP6Z9wqmviDTrs45Y9RGY6+cPOTYzSDTJd
5ueW56MBhbbP04Uye+pl3wTu2TLKtXX9yk38ZyFWFe2jdkp1S7aMdsx44FGZ7LozEcOZurg5KxKJ
kJmM0GCdKQ5Pdla5LJ/MWdxaSVN+pOTa39aTFV+vvRy+tNT5lShj2dLhNXIIgKHvV0KlQ5G61Kw2
qT798GYx3JkmkW03avZq5D9uWR9AQUuEE/3Wkbn62BZqHPCRk6dz1JgYbMn5XJo95d6SfSHWboxU
iTEkq9k+pvH4tCTiBxOCeGzjpN7DlPZH7oNl56gO1bjvPU9kGgSNrMzHRC+IFJD44owu/ijnCv69
jEkpwjxNXebGAF5NJkMNOfhAqy2e0ytmiH4mI0/VxDmlznC2K86fwOlRuR+SmHAiQKICYz1YGDNN
CUtKv0LGeIcVX2D+qNWzauz2qm09b0QT5Pq0fepgfMvm4l84F1CQUSFyM6VCfxr5C5zIa4f1ZdjC
NriNiTqxAKix8FVLd20NzXBxuXraUG+mnhifKr2sTdOoiAeWH/SoGJiYlomwBrOHWlX9NglxyryV
BI68wwN73NpD1h8bT0LEajOtup23NbclWjGGtmfNj2JoesAnPSfGgjXM45vQ/OcCQeC3kEmWRBRg
U8QFprY8LPk447rgRtut7Uzam9uxeM8mj2hG0LKJ0AP+mhivd1AE91seCV3kDnR87vSRaIbpkFDQ
ez8no/lC/3BFvoLNgb0qYdx1bW2kQdHSSNYJxfOUs6y+o7NsfNHsdDhbsgWXIV/Ru1YUIb+gSNNv
9HLCV9Bg8mJ57az7Djv1A7WfrC/KiP0rTZPmJ6bx/Nx33vhomhZgKJQwdymuQUISSuFVJjOjlFEq
uoybcrJ5Yg0TqGBgKT/JbkD4ESghPrGKq8wgf3bfO5Pgmy6zXdyrJIvmvLtbk87G1rRsCWLAUE86
9WXnzOaorAq5/Cqa0ngjL4tBbXVokAPpUDfS91E9JlnavgyOqPeTxlM3qW0eZlxSEctOuiPPl2Ad
DY0EEoXySpHSfBonytmbzskvjVEhwshdQ7/Uaz396LOK5CrElGUkNVz8jrJjjpNeu2/ytrkRCw25
pTSSXTeuzWHqdDu0GtItkH5O/bVXlNYr6K3GQ2xqnnTmu4uq22k/9Ez/wJkuKI0mHxaZjaHnJyOg
fZ2FBO+W10Pvf2kj4ekcTvHRkaKPNNwd1/7IrWFlJnHerXWqpeHdVbODkG0R49nR3BWrUFxENsFV
XDS+G4I3q3Mn/eEa+Wl+8Rz/E3uOsRvjRd9n3vKRLKUMia9iM/AyYEUjLsHK1PKMiy/euwo3SoPB
dadxoR8k6kjcHVg38g7xZljnFaXQvrdG0pqNyKE9IiCjiVlWX9VbShhSyKpAXKiaHeQ+RjfceW4N
Dmz4RRFVwhyLh1nIFPkyD5tM5DUpFuuYXzS3jSYBfQPGajBp1HJv5B6KapRzIl/5/3p831nzckuc
OTjwmD/7nflqJRzWQiN11rbWCKTkwydnIPATCI8JgQjSuUInSlGr96aR20fafw92kqEhbVgVbCFC
f9DXIEnWW6qtsGll7UvTtdmdkwzHWDPpQ277w7ja47s2Q4OYlva69X7t9ZUJeW619NCMPKhnb/go
yZC5n4b2fqjNYkHz522pKdsiKAvtlqoTcqZ0U57aSjcv9qh925o7XJO7pwLF+R+k0GAAPb792k9i
Mx7Nl7Fp5pMq2pf/0NZVn/bLf0Nbm7ZpYVP9r2nrWwJ2/spa/+MH/sFae/ofv0uHdBPjq+ET6PhP
R65n/0G/MWUejLCOT6MCYoR/sNZYcqmcJSWftHyCAvixf7LWlvcH9YU6/ZwWmqAtHPx/Ysn9t8xv
l9hHJPti87Ighv+7aD+etIScRSFO6EyaODKzNSdUr4nPBBqPIVm63YtvZaQrKhIYCQuMz6ydzZsP
A/hDVCiYiX3tXnQUpbRNYDX7yyf5f/Gl/F0swqszdd4+LxA40fl7jK2P2y82Jt8+sXPUH4JYyLtW
l9Wl+p3w2KbFcmCCHsOuqbHs/r//bfqE/5XP51Fs4VW2HeHoLp0k1t+MIgRuFI0zpCCQSfxatgAN
wzSk/nXuYwqLnEa4F1P3KoePyXGvZttPfxiZSt/nlZYdd+haKnXXxTonBQHxuTPQZl+oId+hcnOo
pPWaJSSlTrBxlf3FaKxmD2Jr82iGV83mEjQYyW55K80FcTV5bUaoe21LeSMi3mgYVkBjEni1NrB6
B1A+c8y3xINMqBGxMgR4uD7QlO5UXQwPWP3gkBa7Io+rh+pglPN9GSIDykIrtfUXTSkqUnP3aeBI
AYVfW5QwrtNUN8oG2dN4tqHPqyGLFq2MgZdWK8iIwqJs3CVkISBEXIbMgZACUB2vFcFggvZp37iI
KYsjRy39C+2U2KlTHZthoBtyC/aj0fqIkXLZT7JwDrOPc1azzYld1TFbity07B4NcGpEWdLqb0Wt
O1FdubqKPDn7u2mwVLofcQqBn3Mr4d6h5TUgNomav9WW/ZMx1HJHX9o0nLb8SkYreISHGR+pDFm5
uhjcnaMZGxJxulXc56BLwmkM8JBkta4q2lQmjvrUnIj89OEjFOd61GSafRSjaZKPZoPqT0K80iHu
7aRwqjvK0Oc9dfGmIigLiYANeMb4p8/GHjGC2ivO6rulMEHhAOy+W3Ls97me7v1+HCPuVP+EL618
WPEZwL7VQ3ZewUcjT/TuB1L85riW+gpE1PTHJVX1uu/NPuHJmZmE+bUjAv9wbKuOfTczrmLNIwfM
M1B9Z+Zw9Ca55VK5Qv60J328NSDJREBQYfkTxz6ACBpW2mRFCm3iExsKtzeuwgocWIAs4t57RDGO
FH7I0wGVKMC3Mz0aCidwE7RuVY8hND0G82yOK7jips/BXWScklWssoOp19N3no+lgfpblngsm6oZ
9euu9VX6MaZoLo5+NdrmbdeRNbPCs54K3crQybAo+ZdFmPXHCo83EL84zIyOYJn9VxUPGai+37cy
hKGABu0HVWm7OiaJBPMFfded7vZMO6O2po8LEoHliPUYSEeLK0SkdaVKSPUBO8Y7qCYgU04tPUl0
9ElsRSW5fsQ1L3kU9NVFyQn9RKtb9UdXu9aJCpqCS33W69OC9PrBQHbCYUiCKWNKWt1m60DC4FAj
89BMn39Nbe9tkbF4VPFqTLsWpgjEZbS7F1rqMhu4deTVz4m7HtsaU37KaPiG+QWp72iSgeuLkVFE
TtzIO/zGaDGgg4ZP+q4G/ZpGKkE0aTwhoWvIUvlQXeELwJQC2+x2lPu8cwlmOJi7Hrkr+l6tH/Eq
metz0VkacXL5ZK0bohqblAyzL9jG8iHQI+jN2RuhiJtzjhnE5joi05YRvDYAtF6rZC7SjjQEUX0M
S48yY1Frd1Wr1blpO4NXPNZjre0nFANZYGuqObSeWdwulcTs4dSpicPHyOb7AZP9rV3X3FikvRS3
ii6oMqwSpxaRt4zjiQC/3gTN6mV5KRlZSRHlFXDtlo19qgzDG2/sVs1sQpaIh6jqlPtOCiFEKR9O
7odFAhwc1Z6zsCzKxaPlp3UniE6tvpHO4pOy6VBDHJOuQ3obWSr51NWfndH/IKvBOY20vojN8z7d
w7JaRaRByY8HT3qk+hpg9WNg1tQq2/BCewP3+rW0xrjlk1mqi6RU/snMh9kJ0JmLL4EZiPpDy5D7
GsYnM2ttBeER88XGcnQVS+Qzg7uqDsGuV5zm1mvEzpuVcWVpBZmupsmKwAWEPZrnDJWqzIyR7bdQ
SOijXRMrV7cRE7VJHs7Su9VyqMA1Of1GJ1MbaJGADgt7P8cc+F1pdf8ZHP//Al02Z+tfRo5/iwi/
zYsPWZcffxsetx/6U/Jo/2FvsTAMPwa5SsJHLPxPyaNFcJPjoBU2t8bgbXD7U/Lobr9jEVkryG77
P4Oj9QeOUMEDlQl1+7n/0eAoBIPrX6W0RFBZ9D0wPvIKKGX5e6WZGnOPrdJoz3avzeiUin1PBAIt
Vb13L5gD6pNgpSLesJOr2OXKGbQfshfZN70NMOXBzAGwYjUr/TQ+aERyq6dhaYsrDztUdofiSb0j
YHffBAzTmf25uEJ5Z0b+ZpRo9TQtzyaX7N5BvRj1Y1ZdsqbV6rdKNjVn/tCsh3IxDsmEEjBZpdns
y3FS/tuIBcM7ejp6PDTdi/M6TuD1d4sp3AhdmrxwB/b2znKQZIR+QgTvB/yZfB1U0ZX4RWpq2puO
7LtLL3TZJ3utKFnpuctTOQclYiVrukGKgwd477WQejcEDvB25cwpRGLBktkxhS8OZVi7sm51rST2
g5L04rey0hQwRZh2bpBJ4CmiTY3PE3J8KYepDWOac8ldHEfXCA0ZG/rXNBUd4Yy5TAUzVV51YqUQ
MKtxK5SDWrUlcIYK62flmZDuM7GmqN3p5iBGNyJi1F7DHDq5akLCIUzaUQm4Id85+17jZelEHvaE
oApyW+oUNNq0x+Rg5nOsbtyy1076VKk7PfPigARNks9HNBQZSNRJwqcdEtGYjzmqfvIdOvblcSNb
jWISe8dvlg+3yfLdVAwbf7OABG0k7bjRtQpM4VB3dnmq63445L953fY3xTsWw8ljo3YHST3bRgJb
jkxuSa9BLSKLOaL/ENlJz7ySOUlNCwfZ42qjk+NKY7HO48ILQLea2yJzfuR1mdxbSdvdTXJ07wvy
pd8k0SVEQBuEHDZyvt/SzPbLWKc8Gef4rjDr5QW7j2aGyDsZdVwzjiYjdW98P4+fZTNbx1k62q02
x3DiqOn9/egq6xKDtxy0bGPODVfly3PTesgMNla9dYzqsVvI+w7KWNJ6RxC7NYdpqdw5pLJsPVXK
RNvo9125gyvvTxMD+mEq6JcE9bKu/NXdDEiNmJ5s3+jYCRr8vtGQq+KXMdkMwpa7guIndLPvcrNe
gwUhM6n8q3tSk3gC9Y+6bLCtwLZm9wLGnKAUSmExyEYZxtuBQlkUTXN9RM6PmTNb+K4Rtap7Jvbq
WXVzRVqY23xOpnwxNq0Cfk/vzDdd7kixscOla7zrdSnm+9jp5LmyZ4XowFpfB2styy3Kw/zKaqVf
aWvFo7yFATxPxezv7az5OfptfMTojnia5Di+QTd79HNveCU7vHhZGLBerKlPRShaL39ptcqPJp7G
R0fr1QETqrnzN8VGisZ1qjMnJJupOGTKQtNBEcp5mjufkKMlzxqU0752CwWLVllsEDNrYXpXxRli
VK1h1qyTHBEm8pVACg//IhBfF9kabHI9DU04xagO+FygqFzqsxJNDxv0FSRZ+VXEIo0SGv/Lba+p
H+mqHrNGc79nUcOT6P6o54GYLFeEZrNmT67K7KsS1+9F75my2LBj9LrJyd+UMBs4za2xqWM2nYxQ
ev3lDLqHZHut7yx0j5+k6MFbGxoiAr+cmisgZftHIm0ROogV7a2jANHR6ifXtmkMb73QYGqLJIzz
Ug/XHMqM+Z2Ml3TjccG4fhYTozIq1Qvs3rQTzjRHchysV8iO9GhprukFM3HYiNxIGbBzh/2t702N
O86W+o3RztpeMV3BQ5DXfJ9nHVxS0xv+7rdXe+zSKg6KONVB8Mspm4/m5gmvJ7vzyNaerEfYS+8z
n0rcKUM64HvzClxxcSyXB1uLvUs9VuIDXW195TsE+jDnID1mKLYwVxsVFkjWvS4wJ7KRXXK8nxbE
uzdu4rO9JoM1RYYF6UgCsTwR3jWm6OkM76IZZn1DyQc5SYTkI5mdqSv0qgcD99cp0WJ6/WRH8FgW
d0RwNahfW3u+aP0W/uQ13pddK/Gr1uzvtGnNi+GOXR8um9ILc+OuVRnG21LLr6dZete+lecXqUMt
s1R/Sd1sg3YzLNnz/KPW1eO8xVB7BpVBVcwGkRJktU+Blg46AeH3raHqneaY0gptorKOiSZvinxM
9vaQxpGqlPGCvc8+ZIkAz23dr4w+9YfWxPslGRSfEpdIIEOq5jxlOaw/dqPiWtQGk2FXjdd1pSdH
bdrIB6ckT54EkfqeK7dEAepPdylNH9/t3Gn6JlcrGHts75naI/vMK1wic2oo+qTwinUhF+VdGWti
X2w6PmNT9OkgSdHS6elFo0OA1o6qPvTDPET2MPdvplJYJz1kvyNywb4zPrO2yYn82VSEmJ+HwNn0
hbbXon3oauKMS2kiZp67X4Y15rvBWIbHTKd0abQn3EUJyAcma8qwlBY/ppvYEfAHnse3Wl4F5aBj
klkGXQubXtKmQQqHv9RO03ClNmWlqKZPpdvFezujBk0Qun6XmzCTJG++V897l17xUxHwfcLO7oa6
SxF9K/gVgcB+sGyizzFF/qlnhR2NqWHucb4aMExa9uVnHgaJQmoHws004qioZ876ghR5ClP2TZ+1
J7IMmt3QFv4RkXq3J6lyRhFCxDi043iV/la0FnOzdR3DpOrULIXzJn213K766gXcKa/9KR3Isx4W
6Ryn0cL5Ka5XGyt/tclo9cY39yg+v1q9uR8GaCt6WjO2xfXAEa0FC2C2kdpLIKWT7tN8ZcIodGeX
6/WN26h7V8d/27WHdSqHQC9z6oJl9eBpPdlo9ZrsqULzNkIZPjaFBbKlPHdrsYmHi2ur1LQHv6Oi
oXAG/0ihA8S0Vd4TcXW3kBa1J2aNtqNaq0KnWMj6Q4Ocp3lxwHheU8oK+WwntYficTAO1WjhKtVc
61brkR5ztrtPvW2mxzWL65D01J9kVKMa/616LonUNtNG8CDL0URX1kCdueF/peXSYgTm8iN5/ujM
Y3XvaCNi701bPYoBRM5vhtNcErOSVYkWJOnqnct+uaf+/d2O3R+/F4T/eMf+GxDesvRtk/mvQfin
n1X1s+t+/vzrMvWPn/oTiadRSbjutirxIP3nIuXrf1iGsNg5AOMtrGPsOX8uUrjKPKxcnv2/wy+3
CJ0/Y3PtP/wNtfdh6QU0DOvX7zKr5CcR/wWRlVX3t//+l/Bp99+gZhYpAq5tncpf3cfC9q/WMZc+
FE1ONL1qYw5UchjdOMG2RN0vIj4ue88IDMc1p0uPvSrcJGyR0c3WwU1i99iWdoq4N2ZAZIsxbrrW
dp7mHKmVk+oUaiRob8NJWbsycebXEsMwZ50lrA8/qYyT2ehFOPgCCZCkvg+jyP9i77yWHEfOLPwq
+wKYgEkggVsSdEUWy7u+QbSFdwmXwNPvh2pNSKONVUj3uprpji5DEkD+5pzvkGjS9KfR6eIDc8A4
hGbQopXIceow8D3MYKk2EqI00IlAd3s3YTpTAITFaT/X72SE+l8r1ZWnAWwaEQvefugYWJv9aG7H
LI3vwEj7x2pOi2dOLE7bsRPYl1l31O+JhQDGZkp3041FsHIKPe9b5MuGdVnZFCSdqDi+rRkmv6Ct
9S86W8zHYVJ2WBXygQdCcAsXtw39Mo6/4NOl4nDyERLgMPKoaHHvZqbCRkFWxJRCSqAQfKibmkqY
ufDeM3LG2cNo3VUyuImrnCwCnd8bPuE0MoJ4abHM3THNr1Hot4zv2HvsplaYW3MR4hJkujsN3WKw
BcT9JsiIuim6qqHqbpdtgjGZQtusb1svkcmu9Q10wNM0PFvQDXY2ffYlRhx7EI1V7m1yf/mu3fLQ
jHZ3K1MDp9xgP3u61N/nfPB23USNGsm8Q/8FbXCavWLvgV4KKVYpi9JMfhuQojTV/AXxQHdgwZAd
hzG2D+AXotfRT+t9lkXeD588v/kWX1l2G7scAYXfaBQGukf3WxZjmCa+f+zIN9hDbGALa1JUA02z
N7GPhAKEYfDNV9X0K8YXsV/MSvvg/8tqx30jHsQ8dcVlzpoXHsoZGpV6/mowcQf1srjmLYjN8ewb
HAd1afIhp0HS7JrY79BRRX6YLLl/E5ledecQsnyLdfcloRgnyMIR7dEn9QZUcktkV+VgPOMpfBYt
MOlNQzQOyhYiDeVxMIZ03quOlTGWNZFTPQx6uvHYZ2UVuvjNolf6p2h8qNAMeTdtbZfHeSBZYrUI
EHkmBhPRlQ1Q0GGaYON2x5PYWQw4tb2U9ww8j4GLxTFBgXGrPPtrXbQyurROoZMzFdGbhwj2seSY
ZhhvGacuHURkH4reyXK5GUlIDr6Dc2nTXRzNy92C5Py+G2y//B5UsCkuohpo4PvhxaXBhHQ4JGrY
FaxqRNRlu0ANKACKKriZaokBNIgwnUKe8ZrHRhtlhr9/HuNjgy5CvdgFfjMkIBA10UNXnqyhyqDg
6AxgFaBV73hQ8r6XIxDVCJ2jt9ZMkQlEsZ16JDFGfG1nWco30/XRpe86d7YeKh0M0Y8sajvkSOTV
8ITbJGSZiZ051E9cufjA/IAJxiYAyJRDiFqN9WYfZN8kuhHj6Fcjw3O3LiYk4/5AVsdvlFEEiVrc
TnEZgJSBspWvwnskv0ydT0TB0i5U7aTvWe+IH7Nw+vxgR3psjmSeySocjRSLAZ1AFOwqN+dHUmjQ
HJA4az07MRAESCkF7Zw5NemBZ99qAM8jGgdm7CXIgJhgh81I4BgRM/5sow2chzZx+nPOFMPEFDhy
4Est4x01jnengUzscbDxR7MYs41yeY+3HqHNz8Xk22esAqjAclozmqwymA5rlN1tFYj2lKekaQrt
RqFL9dwjonTIZ7Ps5FBJpLA1yW/3lV1clk/FrLLc+qITF6Nr00jGxr1I2EMRSIrFlGYjHKqBmFn2
gTfozQ9IHbL1Xs14fsVeukPjQ5o8wSfmkyyAiXqosa2tMyHZ9oyqujKWrh/9UXrX3mvHD4bY9ryx
neDM4Ay1w5oNkmsRH3rVLx0xPAPK5bJb5u/t3H7jjFI4AARYVhnR4bAu8De22ZrE9lrRHgyY/+JC
W8KubEQcDlVxKuC+3dW9D/vCmM2bEe7F98X2WJFF+AakFzNPyqJjybd6R3aThh3kto+RrrKGpWQ3
x8xt9VkS9XUrXDpRIkvysEFN9CVhrnrjtkQbw9Ha90aFwLk3l2zbIzdleTU6eNrmaLn3MKBhrgoO
HdK0l0XW/WmGIHqwVLUcXGwILWjWacKpauArLurkTorAzUKlbf+cOjziA9thx6IYtU38/CcdYFWz
LQinMaDh+2aOp+24JPlOZEF8gMQM7q3LR8TMk0h4NC7i3UFDu8qag+br6Nv9rSUX6+c42PXe7ZHW
5FZkHb2udd4Mzc+D9RyHQPHjPaCvBooRgUy5ObWvA/fh7aB6dc9IN7jQnJDkk1TZBa5yemidZLzm
tbuAfC68Y7GMX1of/fJMIf4WEXN1jSIr4Jt0HpUA3GI655pAltIxrx35GP025c6/dzOpD4Htqa++
rHAyeXno6KV/UJ2ry40ofe9UEs/yAAIYWH6W198m9qH4Gkpzl8845OG8vkWK1blVMXIoKgnvyJid
HVhp5bMbhpJSReYOPVpz66apybKjg2/E6Q9YxUDLKKyExZNmJWPYA+KuoYP8sxFgqQIaIhy12gu2
LRzILeo1GtcqtnsYKjjPPSSlv2MTzd8pivMAtTusI7hztvapKUSSsU0lQ5fTjXURneVI+KJ8cmBd
A1lBZZPGCT7auUkf/lvf/3siG9ej7v7/6/s79ZOa+h+Le5vAML7kb8W9ZcF5oBxHSxpIBxYEBfSf
mxJb/LHiTX3c3msexj+yXL0/bI+YCsp4U5q/ofh/slxR4LDClLQEZMALjqz/pMCnVv3rtsR0xYp0
Qchi8iDAT/BP5Pu8G0hlGIL0PstZwgZbIpN1C5I59+6CqBEUSl5LRnRdYCDZc2IhJWKgnnpEqI71
pK+t4/HEkjllBuSuvHcemTQw4Htz/dHIza2Xq3LTjFV+ZLdpTvd90Zo/KKkm5As0/6m/RaSHoNEe
rJoap07wLI+HOkB5XKLyvCmzCl0+hC5E5R12fGNlryAUj28QK7ebuo4hOPeyeHQRcRw4PJfQCQrz
Ls9Tdv6V4w0DCwxF+UiSGA5dtNPGizSNbz4xSNQWlLoQz+XVS4AkpMuSXYjtApdAE/1lWlfRSF8C
b8MjIXlU0s+TsKv1fD8OSxQgj51KhcaTV4ziZcFC2bVFg98gSc4tO6B4/Iyqmrxv6TT2L93oJdnV
tbUREtAr71ImNtNmJtci3RbezJAFuhu1c6ADHCsmGexP0u1XwWnUzO8YsKuNwUyWDEQdxU9SMFPd
4BhlpwKeYzylXpScl0nrdyDpjOA8oc0T/ppxF2DzAtxtZaW1lz2rCWxDTvOGsBERQdwC0fIlGSRG
V+GrNFy/QTocLT5BIhOWA6fAXcL4L2VRK3XS4Z5kdatCr5DzB0Kb1rvnldjm1kZAoUNk0TpMzcFB
ArBWNUaW/JKqgNQWp/kRH/Cwn2I8mu4KIEcFIx/aBSUPxMQ8Du25Zw6LQP1mronLMlEwPxhuMBFo
VkIjE3I2ePa53o+pCayQvI/hyhZwgW4912WSb+IZScm+rYzmIsgim2/NajBlc2OD5cStH7gVZrAd
bwQxbMg8quZe5C0rwaXCAbAxnXSOK/ZQcJU2Q9lBVYtyAl83aCZ8gkUa4CurO5B3D7NtzGe1WKN8
Am1G7Jg0dNC8An2TMBbqzkQWytB3o0x2rVtH65VQDhWlZt4UqeDiNXHyo2zl3GyzQlJvF/5cGhdA
EzESf/qRa2f46WWkVjt7UTVh06d0xto1DawvMDOcdDyD6eo+RZeg7syEYHs2QceAWRplFtmH1paI
JgOPrirlvorT9D7VwIQZro7g3GsVldzZdLHRBnZr2kNvqOEFNlEzjpdlSUmusw3hbOuETzNsxnJV
elWGWjYZO4n4HlZmCh+dIZW8BdnBerFzzYPKJXag2IlnrjhBXZJJhu+FIVMCOOti3I+UsmwxGHCo
sCz86d1OO2argW7jG2F2j5hHs+UBidV3Ywkq7ikDpfzWd3GJX4mn6dAVtZz4+xjf4ruOahNiwzyQ
XcP0tT6IqFHVgb+Ey4cLu++PPInmJ0GEb32yXQ9eFnIe2ztgErMhNmSRc3LqRv2awE66Azw3B/X3
8jTmNhX7lCcWOPxo1qHfGGgbus68XaLMfhDVxP0YiSArd1nM08ylGwMa02aHRTv+TYZhPg/9ydD6
oi3ig6TTVUvIT8oPvh91u8KK10KUzwr/AtuV0F6E82CQ3zvunSEpQoo/+wzlPdg5fmYEOyMlgycU
+Jqem0WkoekUNp9zjgb4G87h7CupCcaLo4rxg9n1qBDYYYia8IaNkPop1UqL7dOJQYXYFg6l1M5j
T6DO/AMxsJVBibNB+0lNuPH8BcqW6AzXBsEhpNuYzFAKFGaaCf8WswTmJmzj8VrZNyPKYuXUKODL
Kcb66JZ0R3XVDHgBq6h4tubYeQXp8ya4hPtN2mk6mgDl8NHzJ/ngucjo4j6aw95O2pMM0NHtqqUn
e8xwo3hb60k/VlEnrkWJhZRiCzr37aTqGg/K4mUHv62d97bX77HW9M09LbQVEplU+NtxNHvIhGOm
h9sS3f11ma3uEY4bbXjN+RU/WBo8IT49UczLfCwdHNwuc2UDbeVN2/HUuAo/t/b/raf+rXoK5ce/
1J7cMy/tZiJhq/TrX6qq31/4t6pKij+A5jIXRazwidWi4PpbVfWpa2ZVRpH/qU9epbl/ipdtqioM
yCalzm/Zyt/HpnD1La5tZMsWgOlVtfJPY9J/NTa1P2F4f4HlyTXoCKuFLRBSM6j969gU70S3lI05
g/CuoHdQ23CJu8XkXBkE1AFdWWY5SExSVe4nutlgY3dKndgAoflcWjVl26TALUQL0xdumECEMCCi
xANiwu+I9KO7ySMNAyGJGWKI0dZmgTPLpt7oyOO2ZiKMvRWTYTgdilGJk6rfsBNlQKayZDmsG0QW
5DOn7JrNgabbZJuwLC+RbRDdIQrGgCpYAz04u9qnOAeIeTQ/Iz9Al5D+ka1BIPlnKEjtOQSEUCTl
sAx1FA5JdUzlkv4kVCj+Pq3ZIpqveXfnGo4C+BJxIVmSwaD1GUkiHZzXyFFJKqnXzBLY58V5dMgx
wSrb344T2SbWmnISmaxiNnVP9gmVXr7HWIvzhAz2mJHgNOBaIS+lQLXDbrmBbjSueSq+4m22DMkI
mHgOcw3xJhtVksFir2ksdsA7L9aEFtJky/t+TW3p1/wWIuprot7IdEk+413Yg1c36I04q9f0l3yC
bmUjEe+3yi9vK2lBPpilx6IdGzx9fOWab4ih+8tQi/fOjfsnq+sqnJ4qInrGNrIYgONAIk2lBudV
F7m9B2fuH0pynoiuIUEY0Bp5NrNjIpipiehw3bF7xFbmMxf5REyusElOxmonSutRjvfliqPsJkFm
eGzeC6zI9VobOFdWysPHqp54UaWj78YuwygC69Lo/H7LXJURcgII01mRmMEKxwyarHpw2fDfYgd8
A9MNomGFac4rVrNaAZvzgCvTM9zyOEHfNGur3+Z5lj1GA2hOglRlGK24ToSRxGOhBS0FM4oEc3MY
Md1KN8FK+8wII90PKwE0mKbvOLSMPecVkNCkhxfKRY7qb2WIMgTCFobLbWf57hRiqhahV7kPNVcb
Hj7IEiuPtFzJpBDD35cypcpfiaXJyi51V4opNjR3Gw+QTS2i9G6KlXZKixWfmpWA6hZNczsLqKjS
74CJrKRUxbGwLXDNXZ2x5br5RKrqla7aIJDdDBCmw+wTvooSH93jSmTFfOeCUUuJrKb2LufYesE3
qdM9YvNplW9bwEUgNf9mvU6/ya+zAZQdM1ruTk8uxyqoN0a2ifVqCa6Fnelm6dkDivdAGGaUvGmx
YO5jYl0QDxus5PfCw/XoW2N6ZZ5gY4poyIkpIKqPWxU5idpBqDfcd6yGVXaaahtNToGSaiKQieVA
dVC1ocanMU3FRN5Yuoqn408lde6YY/aR571aqhBbUyUXBCYdW+zGCyBtdMjpQy6zOP4orRS/e5ZY
lME4jksIqFNN8o/G9UVTZ6Wal+9Ps4zDgsQ/fwc0ts/jI9AZ8THUFVwvmQdW7oHpXgKO+GLoMe/3
FQkCiN/pKvmPF+UnthRMDWGQDD2BhWwbqDFbmt6t3SskT7Zh6d1/T+p/56QGimn9S3vRUz30yf9s
v+LSSKu/nNV/+9I/z2r/D4ybpoSrCtP1U/j551Ht/MHswf1HSeifC073DxsIKqN6x/EEu0GmJn+b
fzhkhQrfdCWSBE7slbb5H5zUxAX+df4hsDOZrskkxef3ADv7T/OPgcFehcO3PmrEi9MuSHKYA0Cv
oEVXLVi4ii0LEu/MfwhSh00N1uT0yr1bh2PB/ilU4Kefsyh13tCQzfe1Z1dPY+dFX8iz0cSXOwgY
5LS4R2awCGQC3qNzakA4lnlFVzNpmt0QoSoW0wRdq3NhlkD0GfcsCy/hOjfD0hbtrsUdCu5knidr
y2VPh70gLf3VlWih2HnOYp8bnbhLkKnf54Qjb41aA1AyW8O5oXtZeVeeC/jCcBJceyxyAD7Ws3dr
Gypqtr1NEzSUjsM56DunQLOe3Wn8tx8mBXEQQpPrf/JTLJw2osL/Ew1V5yDoaxkkSzQPu08qPtYK
TyHc7GGfpRzmR2bsgdw5i1n+SvnAj2DYNV2jyyrCWtLox+K5bbvJral7axYD8WjEb/YmkKe9VZOZ
Pwa5SVgGaSV30xBVzw3Wobu+U+N81q2OXaQ45J1sooTnNkd/YUV0nC2PvyVp/AcYI/Ou9RreyIxd
S7l295HeiEzLh4VA7C9W7Pv3UUEuF3xIZVphFBC9zfxiqvfSL2HxLPKkm7K5y602uHcJwEaFy3z9
CPWz2Y8YJy48fdGUJMl0SQYEKjoZyxLhSlU/WVbrPxhEZlwzHCXEBvjusbRiiCKRsp4jfGGnFMXi
DRnh4oTdqr7LVTsaTwsnx86TGXvajlOzLSDn40e23e4IZrPnNVvO3qnS9tu0lO2HQkD/RqVJmx4s
reutmnnia43S3ykoktDN2X4+aIYNoHhE8GSrNH7QzoJ1KtDoQLfu6HyhKGVIzZXn2pBLjemrz36T
JRRz+qZxZLwHAUlvrkGsHCPZ9stpYC07H9JoMC52ZIzTdsIZtHNM7VdkpVO+9afE5UwD7dIMj1iH
XGRkjg7uG9+wnI2lPO+lok69TZBnTfGWGRMyLT9Di4MY0FKLc4j1bBIoYWTZ1MwbaII5NH03rf0P
AOGrWyxAeZw0nhPx+awmMCKAh3Yl2Pj+PlbWgquIVAMDiKLXDOapwKKWvkFBCvob5OguemQun3cE
DcYT2kWoDXl0K8sSvdLYd2+IB65R4MSXYijT4HvGpBDrr+2UtTBu4tJkkScBzby4Dg4pWAUQZ+hG
dxG5K3uTsfymd8zi1C7x9JoivQuNIKlvMcC1u67pH7PBQltcNDZui8y2fExcyfRKZRd7R25v47mK
nQhlk0I2PbhO2WCxs5owzQjv8HKNurv/dOVX/A7H2Uwh0rGSGcIZqNDZAHh2YmcCqy2oHuvFv/Qo
NfEqgqYI/FrfTGkGOkKnxU70DLHw8hyYfhg/3IUnTREp9uTLgZSr7DCnjBjoHuQVKfATe7U4lPF0
YGnnvlpqjb0cGLAu81DfYUt/tByQN6Na+Ni6VSUh2phCHJ0jZBi0VFW3pfqsziachZ/ZLK/mYkcf
hItPR030ARy20b/LxrpDew3dSRTdeG8NkbNva2YTU5rMB+Et17T150MhqL6TpCv2s4VGmWBHOKI5
UaypUnUT4rf+qCOEq+QQ3y2NgpyXR/iOknGbO7U6tBHz7MwzzFtUhdOd16HAZgz1DYNKe2AY6O/S
aI725DBQzUfQcGvyG49LXTOqHUfjJiMD+gwZc9wMMv6yeoTC2GKOm8u5Cu1ggO3S1+ptytrpaJZx
/5Kx++LCmIxDrPSvQXnFAe/8vOvVZD2Plh19cXLXKDc6Skhez0QJGdm3zdPgYb85OqVwzxXhBHvg
A1R9Dcr3QwOq/gYNSLHVhiEfBlhfh3ThaMpK4kl6VyB1G71FXueurVAqIkrOdn6b9ojZ2ug1aMkq
cdwy2nH2Jlf2Ue23ql5d7ItO8/dGFiUuoVFBbrH9fdn1waFexuYD6on5hgzR2PUjCKd6qpYrOv76
PAPkYIJS+g8gT6vbztPGXUeOioxblmlW0KJM7DBdUapZejPoPmcLqrP4EuSlHwC6cAFT9ukgt7kN
d5EgDnTpYkKZ6vYr+9a2nKuDuJZmN9FqAyILOD7zy4NsZH6DTBOvXYP0ssW18UpAQIe8Hi5bmA5o
jU1HPXpRVj+wDzSvKByq0O/XjPuCy0CQ1KrtbqvZ3tEaqjUCQRjM/WT200Hy/3MoVRlCfy8JCe+j
yeUc9OYb1oMwQLO5BTLGEOulTobxMUEG/gMPfbwDTklKXWR/MYLhV4pi6Z2Zhd7gtjK3nXBfKuEa
gMo64icRAyHh5jm3zG30Eitx0E72JfKG78gZ3MNSi36zRFhGmFC/z+MchH1R26GU6mtbFnA6HaA5
KNFpXOzmJ+KrcZNnBjkKPuKakdyDemsvs9gtXmTdEwamdgyS84fK8q5VjHeQmN9hV/Y2alGbrUW/
nRI1NTvEJMs1nvto15TdjyFLnmdYFCyztlgGHEArzlgcpYWAiHwLtMHsVvub3F05TU7rb3uBPUxz
ygEkjdKvdp4/G6ipkKu0JktwmR5hAMufRN88Im76FZUtfKOU5CxDfoALN5GoEoOCYkzeBKzDL425
woec9oOtT7OnU7iZqhz9UcKmeaxaxq3x6BwzPZcgm5oT4aMM9jzrJZ3m/FJwzSMa9ay9BSnyYGeI
IBozO6ixaG7qXj+JJen2FjvpTTG6W5Kqlh899SdLedQiTOQJ0UASmm+i0pnDYq5GBOfEl85VV+71
QIaJMvzvUWy/o9aJPszWde7YLBVI+12U0D3Xlfu9tOE7pcvQ7Zokbc5A3j6jHX7KciIH1/rRIWlL
cNJArLGqbjr6DZOSTqDDSglkAbXsJQcqFvlIlkgMi2HK9gx99R0cqOheRTXMnjqsC3VI0bcncwdY
WjZcopYfs4/QdqisjJybJnvRQF4eVyHLoQFBM+CiqerHAYkFjFRGAqPHq4sRenOkXww26SHBtq99
lh7WYrO1qju8jjEU7eCMl/MXW4tja5d4eAzzLpq6u6WgNU0AwakOPlFTflFFUGH+1s8THI3G6jEc
VLdUa+mWbzxz36MJmwF2UwMOsKMybnPMRwnGY+bx0UZL4V4wb/sXr2yrbcKCxp6li60zL5d7m7Sk
/waY/lv2QPSVHuPK/3/l/ZqqmCbnry3f7y/6s+WjfRMef0XuwBp6sM5g/97zEZJAu0XfRVhpsLIL
/mz6gj9glNAqmiZIBRsf39+bPu8PvhtxnIRm+7aNtvI/afqk9X9Urfx4qFZ8S34LQhb+aTzrj15d
18xnjr4PqphAwZo1tBm40Bjn9pJOzg6Vx5e58olzG/w4eTEhB24FzupzmsTD1akJBw4UpGtXRla0
UxLtSTLHDVqqqniuqxnfCILfUxv1zxHhff6q0PpqwtdRaQi0Mn7Bg1W92vAR7ptyQtAx0on9cKOq
PkOmDS5i1u7XysSnB1IJ9p/T4NTawIwPXnuvNn7mWuoXCplS/0QKHMiMzEcxXeFM7VTJOjfW2dnM
8oac8pHOaXJE3CO2MgZxHXrbskI7qY1nQ7gMhnnijTty5NgKU4ptujJtBbWto6+W0hypeeJ/KfIC
pVjXjz5vC5bdo6WnGGejBXww96BUMXNnAeRP2Oislo1c1OXfRLlU5xhTOnfyIkJXifxdZR0KTCsS
oUFHui3ARL/iAJ5XGSLqOdEReFPTc93jFzIlVm+qIZZZxkffFXD/mQi+JGaXIJrFqbBpl7GVr01H
xb6VlBvBblE0f8y2ItIyoyAmMlIuorfvWrr3dm8wVHhWKIu+Dg0wdywCGNhFLHiqsFN41nDNeJdz
a830qgPrOcjRTWxmmxItTnvckkWzsmp7p0Djp+oeTTMV74oZ7iCHOSQxo011qebA2QbQIw3VkiQ1
wQA/W4rE8+3n/xaM7xhogyr0Nu1Q8e/mpORrXGfO5aWpNFGOARa0rdvDRMzYP6Xbz81kP4p14pcg
WSO8zA1eoYzjpieWNni1BqKbNoogJeSka76kbbm8jJI0ocMk64GCvg9YdWJ1/drQ23cH0XPYbpTu
lnMACpfXWRKwY8dEz28zsfCCPj1JyClFdu7zpUhu2GnyC0xI3GLQcxnv7mdUJpY6ZhtxNGK9cZGM
w4TQEiMJuCTPvkZjMUX7ro/M+NQ3I0FaMejfH/R6rD+pSSn0qRFYstctuWMFnOB2i5di7EZ0f6Q9
bICU8e21t754f2E5vFnsnHdQTZq/WVpYB8Ir6aJ1wsey4Lr4YM5PSKXR8CIiurx7Px09grr4iZ4c
cr0fDc85TQUK583vOJ9siqPXCa6ov3WEi45WTPa4HJSyxFcTz6n/O/LSM4ngaVEcjLAotDoixXTF
Q5wNwS53ViFB6qSq21G4kRbX2infP3YKXtZccnQlGCvfwFvNxuvnb+kXyxAfi1kQ8YAZgF/WbTyu
MoMF1jVQBcyUIu/Q7nXeSk3Iy7Fdnmhk6nxfF+tHaoPF5z3JVk50PwerzayjDlc1fw7mNa0TNBeE
X6Ne0kNes3fAeNdSNU8FTyiZteooStOa9ylhbL+WxeWKpClarylrhT3HruGXhxoYOPtrq9Qkjza5
3mqZ91PYB/aCldWbHhGs6fsxm0kn4kqDe1sPtLRFUsHTCETQXHp/2MLFg4bi2uRgbjqbnNOhpMnd
zhQIq9cpOn8m7vFhostZd2uPWTL3hK6prvnoxdDB88pI6By5ig8ZAOU9BSg2rTF2ATP03ffMYL6H
ioLbgmgu/eR7RrmVNgXxxlZsizcxb8DFM4XBqwNh7+DYQQ6y7cFqOKEbVHj/eMsAoOrAlYQVBPJ7
22SSvUNV+85OwCTi4dAxuInjTJyYwfD+zmuCpJKSJ8iAoJMfWE53k+WKHaZkGz5N70wbu0W8yN5a
NCdHry7iwk+SreLEoAJvqsdiZM1PfwZYASlVYr9ACpN7Y1LzTyFL5yYiDfCYjb71o3Dl8urHg5Z7
jN3ZpYVW+dPB9PU8uO58akriQVCBkDGQGi9Y+dRrYosupDYGWVkEfnrAYphtbG0UBBgTCVLAx9yb
PjOnKjaXn+hfmPw4uLfPLFskFWcmiTkpl8j5wIwKIxNUDgW6La3TsKj8tmQyFbrThCsNazGT+DRa
5MWN26vyVPnTdYOErsOnyKYRaGmZeu1f0VM/WqVha/YblsPI0B8761KghG8fEEEwoDRxLa6y5WWE
bExMT3M70cNABBmi+2pUPE1mSTFvMFwCewc6bcIU2Acd4SHjkDqXhkRG+yUiVvEVgI96Ql5+n7hj
+zjbaA+muLMeIwAHT5UEeIbZs/fvWvoaNpdFA2cvMd9je9JnctueF7web0PH6qfGFotsearqgPuj
gQkDYny98RlfNEEJXti+7zqKZg/sNmF5ZmJepnrBSR61vflAZEa90zbihiJT1qbLsNpvEmAhzQ7w
ELBxFjzTlwgxarEFOO1S2pfDgOS/LQqAMJYodtji6q2vzf7ZJtXoI7UhoHIUOmzdMjQcpWk0p9ED
erWdaB81x/sZK/twpbH7sqIqbxv00CAiJ914eP6j/kLxnYUjsdlPc2CI86wz6yG3vP4XuB71ZQ5I
nP6KNrkYH9BERfGZbVB+iosctmer3u15iR6SxCJrx6MRoxSE89azcy1Y6qLUxqvbOcadUr2362wk
QVD7y59FP+lLuw4jIncGK5z24weSqyiM0YfcB03gEkI6xRAGq4SWkGVAc0WQn9+aEZlHIYtE4wEk
kBtKMRDvVxaYFYSnb5qurL6kQ0/TUzcv0dAQgGiq154jcQcl2F1dLh+WHZ8ycngvxuyK92kCusc9
NyuMRJ2FsQnpXheL+M4hU/d2kAo3B1DNXNo9ayeGURtZNxphWNILXqFvbQGbgloBUzDAtZyNq0dM
KvbX5FKSB3u0C+stgv24iQuPDtGuBZTsfkXBwhC0mpHrwKa7S5AFc1IERBMwNPPYdnGE7wPBRHVj
Q3l/8GPh3fvw8Z9qJSC4KzpHXk/C5nXRe0P22GEVcGMCAl48s7XOFWMi/MO62QIQdWE4leUTuTpj
xTQ8K/Y2srZQ2wUqoMZcQT09s/gNIOTkvlx9J2z/5mdTqfE8d85K4eILRxrCW55A4zHV+I/Dvgwe
HNwOh6YaEv5oi+bMhKR9TFz8OVsa42nHdo8dQTLV1s0A2ueBBA0zVJF3YoSIPzqP5xezKyKyi8rh
NRmSd8hN0GNdC3pDrMf4ZWSKglJUkxjRds6N15T6qE1SIESQ+BiLiA9dEU4TSsPSJP/El4OnSM1M
QMeRKJRvG+22e0QSnI5Ej5P/KsuCnhcvMJhzYzNioX9iLiT3nW6jbMdxSNuddWmInRV/CHkmplbW
YxKtGafIJ9BWkBx2rgUz942ZzMNZKwGw07Y1g0qepwyRsU5vJc+bH1k7eL9oY6ddmnvuckyCvvje
SNkeAxVEu2ItrRitKEYOcwsZzCrrLVnbHvuTtgFpPpK+MvjD7dRYdhjNBU7tEXxbLqV9zrNyvC6k
dTsvnG/5bV8VqOi3KCDK+6xPnW2Xu7T05AR7j8DgsZ26RrCmiWSUBdUkvuWWbcZ7uMJApEeTWhD9
eX4HWOgpHgt9gazc7ejIA81IwIdYSRlwC3qu4ck7O/E7iG9IF4vD6goZ3EeMyuVxiSaIBUSP7dt8
mC9u57rXtkpatYEvbiD3dKG31kV/1lY7H/wq1feW23fPyVSCr23Pjb/osA3s9q4ETvId3ph5GPtW
3VijGx1U7L9SqE17ifx0lEo8ZONMpI075jmKEF3GBbjQZbL2abDgAJ6EAhtfF//L3pktyW1kW/ZX
2vq5IYM7Rr9m/RJzZEbOA4cXWIpJYp5nfH0vj5SqyJREXd1+LSuZRBWVRAABOI6fs/faBfDZXLrL
fW+Z1a9Tmmd4qJXMiJMjQW5l4WPCqUWDKSVYjFQeplC3hsLyZERLg/upokHyKwTMx6qfC6SazZtR
CrWNZRyDySUs1/LuSxxV1dlbVZx9VlZhvnSjqq4mh0Iu9rkXjukI9JZM7DmFaZdE3r1CT25+iHN+
1YyoR4rgtgTauSOhl35Stnaq8cMS0f20rcYPvdtQVvUtb79jl/MGHQ/f7eT/hGv4Tg1uKxMROFBS
wn5tYdsuu/Pqy8s9rcn2//5v8X9CNTLXCalrvaaxj6MONHbiSD4us9e+qkbE+58fz8Hf+j2shwMC
EvIdifXVxATj6PHsdwekvzMzIW7LQ4FJ7sTACp4YC/ML6C+0jrLsv6CDsu3rcPB769g0THtgpkFs
yK9INyGdk6QWtXXrwm5u8mYQ17nhLtVFg0n6eYg6tR1SGvcreykCyrZc50GHpqXY0Nvd8iAJCW+2
2HKaQ9z3lJmETLyUzjB2D8y+COlbOsFwcl3ozNDPC/sJ2lP+xIYtDEgBj62QvQhsCvGYe1b1aczm
9pVbpvjmL0PxYGGK13QsHSPgSrNimAo24RSyNzL02mmywRJGcLcg0Gl3CgRYuz8Hm878hw2gsYpI
5iYS7kQf1i8/nffCuVuL659/Cbrb8b1YTUEAdW0d8OrYJs2Zd196SoUMAAWIuTPr/bJDejkKF5Gx
Xfv5gfQf9IcDoa6jDIBhKd/fXX7DDq4mt/hAjgNfceWT4NIVNd/POem6jXWoaVhObEKwOlWf/unR
fdPysTOjZgOJrU3T399qlTELD+Y7OUFJJR/dcfQ3cR3P1I86bxvqk7tyO49NgDHmbNt+fnCBIvHd
udMVh7qppEDS9odzH5kfBui+Yf8IIkRWwxiikcU2IR+LpGXbbAuXkx/subz8Ley1KXodKxN62QGF
rng8f6D/OPb/zrGPcJSo1b9ub37AKMB69734FD+9/pnfLT2m/YvpWNJzTZ5aNgn/7m4KIfgtJKmW
dt7TXPxXc9N2fjFRg/7LtKP7nr8pWmxTO3o8+p4+8hMqRvlPmpvvHmYTaQyqem5vIW24R5ZecL9b
UGFzCdrl9Xjd569hmzEi+PW7q3H79rh+zwTgxL+/kf9wgHePUTNZWV5NHMBPSCnz81WvXuLhOlZE
Qb3+/FDn1f+7BYORNmsSu3jLQlXBe/CdOAeptsiczBas9WQQ6sKCzgjDdZ2Ol9bO5zaZQv9LxAiw
M/dmJVsQhSUp7XFxYVpmHeavZU20UXjDwxaZytsHTWjuZ7/ov8a+CRDx1DeI3O1L062WY9aqJGge
/cSciZk2yuBxrrtdImPnooVYepvUZQI7Eh9jgRO2kOHKtxriOeTgGoCFYJYodgBZXkfpAyVMODRr
F66tV274EKj2CBqShKX28qJhDXiap6y/zIKacedCFTPuMJJCVbv0YNFtHJDj175AQfHZKAkPTQ3M
fSu/kw3sFjxdN7bhVctl0qnIeBhpAtnF1hpCRJSoeSAQTAHRi03c7v+zavy31HC0eXnM/3rVeP7a
IMPtflg13n7m95mI+MX2WBZciOpvwvR/zUQ8C5qijdOPmutNI/fjsuFIif2TV+bbivL7siF/wVMo
WGcYpAh0od7/x7IhlTbdKkYiFgexCaT+cdlAP9ovSGscJiKAwvIo8leAja2/eQu+LwB8V1icI3ZH
SyG3M99VGkEP2tbCt3/okwIKLV0eHCI4eD4XyLpvc5dGbgbfudmUC4Xgd9/Hn6xb+vv6fuGy9cFB
o/kmcEi013rI9f3KGLlZNlmpr3ibKhqoXtOOm2FCpJdDHbgnzaF8CVVeYakrCDOlTxJ/nYwONh1t
emuTIShazT3zT2Yg2dqqjfqiTzFct36iA0WyAPve3DAyh79/BVgkuM+ZLmz+Byfh2ZwAREWW+Pcl
lEkLEfDiQqLoAv51soEs5watb9JW5qfaAjkeiJSWpZHPwxorJ0Wp6n1wIeAS112stPxOTrclLriV
SS7zHtj2shtgpBwxHaY7f2DUkdND2c04cJCg5Ggsfn4O70t+/T34pJuytvuwQOW7Rb21LcRj3qgO
WBDHTYPUnlikZkbJkXz7+ZHe72bOR6LoYwqpZ43v4TXMYVqdIqoOgxWaiI1pfHeuX180nVXfmQ5a
vJ8fT99B372uzncYxTRYHm5xIKv6Dvzu3StFyyyHJM4DIvDmjhUFCkHPFurnR/mT6weOB9sueH4E
sva766calgsaqP6hkWO8Jzr8W2Wp+JC2/uPPD6S9ye/Px2EOq6eurAt/WBSSUEg1cg8e5CKy4+K1
chsp7pl55oubc5xmwNlwXcDDTO9JKfdPVYbj3kZueQ9zZLnMHae+a2aXGYU7MKuvRMyAZoCxeAg1
y5+dOSJC7s2nIYRAukYpaoOuSEZUb3bIQabKlsj+oWO10m0/jO4SH35+kgyR358lhiDB0uBJYPqK
1v6P35pmSfds86fDmKBoIYYdU2AIOg9PG2OWtIUIZpXfpqwxNAQDOd7sJQd6NP0OwU63Iw+tua7S
mCBp9Oqb2i2wfmBSvnYQSnz2mIx9cGoXXc4oHwTDF7b1zJ3WDfPcR2mmahfB4gYUGzHYDAt4QWE8
72G5imQIP7OcpQe3cxwqGOmAaCsZ0LkqOuRVQLgM1IwDTswZjF2cb+n0i31rlf4jnLzkmBiEdBWi
jroVepQvEeJsAE0pM9ZqGW6qTIz1alg8+4R1IgMwBouuGiQ5MTb2X/pqRN52AlhpClr2ucM/nNXE
+mI8NW5gQcyvM1MxNKNRR+BhZ+2dwKYRlLhg7hakJYx3FxvermXSNGnzD14Ypd8qEZXTKjUVrCjV
oAlajaVpQTmPpo8eCQEbL5fNwVEqOyZzMp2WWrk3bpb6m86PC7Wy8ni8IR8PnVrCDtKs2y2mW7xS
QfrVIKLzyigyA9ZazNzFay7yHJdS5ooa0JE6MkQursugok3N4KMjQocoNsMrKByTk76e6GaSak1l
j9WqpKATufXJiTA32cwVj2Ga5yfMpfOTkaVQvgWs+2uGrgyM5yGSW5P3C7lSo7WHse0zHLGtF/qc
7W3CdSIj2uxxc3mt9ZjaO1jA3BEDWqK+tqwX5p6kdkXS2FgkbOYr7eh9IvWJmVkKdA79ABqgqQwP
49zvosi6k0Heb1nbhiMqMHrqBvOLVRPJV0gQ+aZxRXU3N9lVHDgRu9kBbE2Y4bUOUoDiOYz6xiSH
STIMNEObyEM1hQ8E2V8hPv0cobo9RF1nMh9Z5m3SuB+ISsR8XBQbRLLJ2khcNAhO4O8shqMnj049
oOBUrcphmda5aYWrPqmNFVQteuVEBLFEYSoW+ZnWV2p1aqj2KXTW9QzA6pNRRTMfZgrw66T2Gv19
WWKargdurmH0NryG0l0c+m6BcyZGAhC6ct+0rXHpoMY8dZTH62Zy5pdkbE0mga1HXsKMtWBlyqS6
WXAHsUy1or6cZ2EfScbODsKKzYNX8ri4BtSPlOYkIXn9VoKKXcHAokPXRcEaKEzxpRnskKa06F9d
r50/WkMzXjDLHY7poDrsPpV9gj8IMh5EzxoV3HDsmQ7fGHMK3TObsb6uCNptxRFPgbfUG1G7OU3m
EKWnsUxP9mAWOyhz0dFMYSiS024jKGTMgJg53gs6W6d4YiRcmOwgnJJ/TYo+RQnsTvU5pW/jlv28
N1wk8HVrpruAlui3AVVpeW3Sz9kEFUUBGwwTvQIx8hXoyE2MKGMvFpIlJMqWrTmMcssZNxeei+uW
sWOKPoRdEErJ9gP54vaN5EG9nmOz7jdpAEEAw185fCVVZEQvb5KRRH7El4hI2h28fO/5nEdQOJ54
NEzqC5JKI4gMI9XJQMmH8dZcuaEiGwF/FA6Anq3zdjLd9D5j+vExSax0k5rLuMEpMd0aToXcNxUM
7O063VXgUZ9L5CDHGqP262JE5iFLbNaehpOsK8ovNysJaVA2n2u2qmsrWoILWsa8uUYGy2vXIosv
waAMo2rgzCFk3yjiwzZOb8kt8naoD7CAbhavCkjUshd+RqqM8ASy+tZ9Y/FJ0l7RmR46TglsGIAm
YMZMIMle3Foqcm5o7JFVWqDDrTrG5GbiZmvl9cEFtYqDxZ5xD3VkczGgeFoJi1gwauDhOR4a1vVS
1hcJLlla044t9wIMwh5StMP0rTTuZw4QbXD8U14wjOVjwwH4PAaOnsG6UXdvehW/wi163yDK3DRe
JD6avnPZImzZe0Nd7ttELuOKetG6dCZz39UsCgIr4jUDRoL+ono65inD3CFLwP9bQbQtC3hwhEit
x66LV8SGO1tATUgOC1gV5HwO+6Ya5mjP5ffSLw3g0+jUtHmN/X9mj9xNBUzbLm8Y/ljoa08KolzF
yjq3kB98aUfX0yinfHlrOf6nzfV3bS6iHWlB/vWG9cMLdhWkvT/Ca+j+6x/7vdMFvIZZgMNd7dNJ
0lvM33V8dJd+0fo5Le77rsulIPzTd9JjBDrK51Cp37erDjYwhvkkR0k2mLjL/sl29ccamEeELq5Q
gmgqKBE6ZeDHmg3KS43NtHfv8iFDks0Yqb9rQFy74J7r9vN3F+ZPdo4/lsHngwHwAcVjKtvldN+V
9aEzaUN0Z99FBgqXwi7l49wN6jmNO90z1p390PTsFzUkzd9Up396aLqCpu+7HsvSu2ZbbKRi6kif
vgNoyaEVhp3tMI/QpJhyAosjDE9CimlQlrUBVuu/2a//uIHSZ+5Jmx2ATwQRX9z7w0srDgtWaesu
AwjNJNJgFLc2u54JS1zqw01a1fTzqy1/7JT/dlBuFRtoHkFi73dRRUVqTgjt986hx/ZYwHY7ytxF
vEc7RD1XHdsMOyYOhrdGz8Qk6vru1UUCuM8gTSO64gW0rxCnTYcWS0CwXZbFfnF9SWefJFZTXA5V
MItNvGhPSQvTkrDTrECu9fPz0NuGf28G307jrC9FBQs28v02zR99C5VOJO+oEblX+gx9WqalZ35L
Mz8DTn05pby/fn5U9WdHVTweHn5GyT9/fDDQy3nJ5DTiLhGDeCS9G7SaV0TfzGSq70C/TPeOXYlr
etioH+eIEuPnx//jg+kxz9P7e1Nx37x/VgalClBQkwBH7E73sX5giAGGdj787djq3UjlfIUtwX4b
XQ4HdN5v74PZ6wrT7MWdTV/jnjoSqSXoasq9wLLaVzhO9stAZ5en00RMWXkjD4sBIQ7WFQnw//zE
LdNmtSQWxfrDXSvpF6vaDKhAeZnWa5sMhfJEEiv73bhI/64H8GcPie4I8lzyP4/56Y/fs6gSMzas
Qd41LZA5wqyRQ8ISxEzgmeVlDqcfBwRSwLqOuctVtjAZHajzEdbjlVvh2CgvDXeY7kNkjCGUbIlJ
jIp2KzokyVE0UFYQCcJTRigqVFKF5Trb/fySiT9ZXjzJ90c3w8EJcd6Zf9cvSbIw6P1ZibsA+m29
Wxg6k4/AfTN1efWpaXJjDR6IdW/mAuYE7m7BWDOhbGdVH6o5R8kVAwHLgHovZHOLwGxf/cac7n/+
Of/sY9L+YGzIePSPUwhjkv0ANV7c4Qflgpwvs6ia6pMwA/FY0xn8m4GsfoP+sHZg8+eu5p1rCoch
yPu5R96FMjHTub0bEbBdogJ2XoCC6b9ZbNp6k/iAxnLRdQZxwAAbnz6mlRGj50NM/lmFoGHuXq2S
2hmPf7w3DR6C2ELlbOt74nyJWt4aLs78SJ1aRhSXM027k8Ec4Sg9Tkg7+t4MFV+m//o3XPqHwdH5
rfz9ksjLmtk6ynthw0X5AxVl8VPlMXEN78BA0QCo5qXZJJ6R3ECknbtDMUQYSRNvSLqNdKhvoXQS
PbJTESrbVcafba5nhHZrmchhy37I2w1nvBU9KIjnhQhJgwfqiobKtBaUPmY0Gk+VgftuY3plSRze
mZiFOQC1EsAynoxE47R4BWiyVqJzDfyquOs1c8tv8+TEZqm8HhKq7I0PZr5fVTIzPorZSwmom7Mv
Jh7ZTUYdEOFGWZaKzzdEr7ODtfqim6NiE3e8vy+wFuSE11lJdUtMJDiw6YwGA5VvkqtHPBdKMs+o
nvsiS8aNFXjeg1J1xG4mAcSHagzND/HEIeQtoIFo1dim+b/WBhHhSFnbLj0suNrkqu57uzlKfK7I
UhjCn2TYM1WuhuDCpPWFzXVAsO+hTG3ujBEf/ypxusKBMiOBaOekzFW3XphnzRpOaBRs/GRUzyHO
5ucq5R7xEAPBhipnBcAhwsRNaaC2nuhQQyPfd15aZVMmFD6rDSUgC/FQ8TS38cyPoSDJok1g0Sz3
SRCAeIoMzTuR7Jj2vJlFJOCzLW+0Ntq1oNtou9Un+jsA3cI3ulsVT/6R9k50PaSq+0LHyEXWy1YV
vR2ZYcrKQ8yFNkmGilDnGgnBaJrLR9H68YUcSNDxqQN+BTFXonJAAe8pGezkYpWfoYI6H8HPOpgO
q+iVG2X6GvZBot0RYbExe74e2kwdvIywcja58IY1N9a53REU0+TThDGIuCm7V7s23fWEIap6BKUX
p5dD4SMaviiKTOWP3gCwTHEDZHPpbXIv9/GndyC2dFw5DJJA8k9BI8IhVtyODQF7ejZmIAFQqFT1
0YjQd/Jx04QsXgS1ub8zCKLcZwsEkhIZFNsp8AKXZkjvmNXesF9qIFvA+LA6zLQ3g+xpMlq+sTnA
vkC4O2LvwVNaGa5F4vHMXclcV/AytQvGNWuGKeSqwqmOMWYvfKmoCI21aTb+ZlQjtxfiIb76dGDJ
ju3wrvfQ6K+X2bVfAoTBRA+Y1Ktk77Aa5aPzMgWLekYt1762CJswYIJcM2zWIc/O1TZvItyDNU+o
Dx/J4o/HXak7VZZTXlLWBc89JuFNOuflZVqk8rE2tSNjLjPkQx1oZRCrHpq9zFYkJwrR8f+EeGJb
gMkUPm+CebaoTIB8h4vTSN7UK9Is+C/Q2iTXsLJZYpCP+Cdsq+qkvHK6/40bd+5G6DWSGs4/BTSg
Ls8a+qD029da6Ut5tl60bc8vz58WBS8qcXbVDF0oOyVu7ni+rc+1SJq56HzQouMjCNEu9ciNrs8S
kFk7TgZYKNuzN6aP2W5YWSIhTTC9IYRGN+B19chE2XkR9GRxy/L8JmzFh/Y1LrkZEv0rBitokHBq
4KJJB+flnE+jdHlUZbxtaxXWn4hWofqd4na+PxcKS1oX88WUZO6LnKjvkzbjq635MFCFk1fUrijA
Y0YGRxDn5jWMaVwVZQCIt8nS8sRtxHeHspTivax58bRlcyAkcro3E5MivISbsHVEWn0K+oy3+Zxi
fdoGUlGlQ83Celu6hLDUbcMnH/iZQTeMZhTDRoOS6lzg9LpUSRdcJG+bH0uXPnMCi2/D+N8mJtZI
a2iVwHngdMMAgjnl2C+Rx8xiz2uHD0jLEfGWbxRjgrlVBL/C3eDgxfkREjTQMYlMjS6DePOARhzv
fHtsXzPV8h1VZPvIjn9VoeAFjJGXta3UWxVYD7TWZsxELAPW0eWbvoaV4R05nfLSwndyH8/9DNAg
yvi0iNWbA+p5cd3p29PB9XpthglvptTu+ZOTgXLVxuDRX1Uj8TmHPArYAwoXrh4RkdA6tozZ+DCE
cKI1s1OuWSd89TwNsfeYpLT2tx2pdHvY+twjZ+EVUUZcU8AWnP95EUgzC3pRDBpznUH8PoEitY61
4gmrXH34fMQVczbPZJ2oPiWCKQTC8OZAuV8fyB/mW41lC+SRFznXYaQEVUUcPENSmm6nOXRfGr/j
eTXhc21lvBjuJnR44pum5ZOc70TgEqK9HGOWAEdQo2/f/FJ2WIftrSLxczz6pf6CktpmaZJlUB/y
BpVf3C0TzD+2oy3uZgLsVtLXUBQJnv0B0QjeuSTBDYWRBQpHwjbEhmzwOBK0Q3tNaqYJ67yiix8r
7RuqqN5rBPK35zPkTUSN3LqsQE1JA/G84V1Go/q0IKJ8JKJOPsYs3eZqZEv7SDtfPJZaILTtdJW2
gCrL3irG82tzXkzuqCozMGL5Z7OSU6lTIRk5JL2kdd/37GT0VaObNik63oKgU2ZHPPQuZ5HGgf1S
9R3Pa6FtgujweazIciaHy1qsXd9mGG8cmNOvNQE08VraWlMXtQ3RcxG3PMD+NJjuozhwre0IqpSk
XiQrW0f1mXM/NSTnoU+3cYAZjem8/GbMivGXFRMyR4wI9jGFxlBuCQsZs4t8cPlpBmiyfqCJO1Kx
E9aVrxf9coEyode+SSbGvgwFizylSKi35HbHfoVRRHm56AvwthbpjfuQSNYFvbA2occb53zvBqEG
Rk5d1RwmL55/ZRQf3J3vT5vcrz0sjX6P/dtOr7ze5xbxzR5fk5MOF1E4g+1+uyGI2/O/Vd6QIpFu
huZgJJA1M43vp60rHs93hTulWtEJnwAZP5NvURfiOnF0tyFtdQItWmlBdKRzNu0tqbH2akkTogHT
taxifUJv6kGybrN1YzMxwXATsDlh7ymuYXo1B2458chcqSTeKwt5sryg5g2D4dLalRU3TZ+UrPZW
LG6YWQJCjRZuahNmX6+9Ss3hvALaaYdqEMIFF7sLzsYuQPqklXijbgbxAipWzB5mcK5Dx6JQhs0Q
7GoDC8G2QMYAw7XveMyseua4YTVP9/lssyWo2Ko9q2mm8HNCzrufB5+7W9qdsUnsBtRgQy0EH5VA
2enQ9UMR3QiMFeWx0HzNxhz4FI7faZtfXHK3myJYmsfO6SlCQiNVz+dYg4LICM7XI6fL7qX30PtT
fgOi+ktkBMY6VUl7IF2XPJeGlX1Mw+RbaBFv4mGlWllENKXrobR4gCeso5DmeSPN8bisO1qeigpl
dp/TZOY6xxVfaOmMy7Q3+sTamQVJvauwxrgfDVN+jKsqubLsVog1b838yM5+OmhTFpb0qiqugpLh
r5oy6gVXTiyGFJk6KVkCe56mtjMvar34XyRBSCOSxjw1VW+X7GAyIgSMUtKFocvWA/LBP/YQJpKv
p8kr/l4rwUWynGW6pQM4oiYDn8EEj3WpHqhxcl3S1ZE/3achGAQmJca6J0Lv8rxRThHSXo6W4lFV
Uc0o1Wz4eJivaDbJkvoAvxqfdDq/TIKIdXsBnpN+LakxebvgstnibSMlmgyD58APWOHOG8PQJHbz
ImMUypLXsaaV7oQ5j34aqnBMsadYhUjDKyWuzxZUYXTtq1xmf+Na2hrH7QSazpW8P+FqcbfmIavV
4sbyceDI6/O6qZKUxRF3uLWd64JnItP1ZhUo/5Q36PKYWtG+Gie7+pRm0wj2kXWvqXmEuoxMjDgw
4H2UJHaGemVeFkI61+ztooN0SAW0B9dsL52q54nrdIaLk4JqMt4qjJoeiTZ/5mnh20fPw2V8ZMM2
dYeW/Q0Y777ZM13qd5ktpc9eBb+smS7i0fdxx06OYlWiz8Ml8YDy0msKJDuJsyzbRcz+GNGx3pw9
qZUz8TwsIS+jt5LZgYPlYq9Y0SXLzR0TZc/funMndxw5eiQ9ZXoipnM5RfYcP+HkSTcEeStWZ3Y7
yw4Dce+B28pNGHx2Zdw2ZzAy5TSQZKuxpoPEr/mlryznNVH98jWjqvxWZlNLuT1ieaCuIjGzas2T
oCjbZ5q9jB8fDHN/RjLXdZEAACqZLDr4FK9jD3BzmLjxh7zqwgeXGn9a9zkpLqkGPUO0mq+VVQVP
EYTNL2U98yc5ZyZ0fOZDL2dWNDryUeCQNhuiR9Tgvum6/jPh+ZsJDzpyn+7vX094ICx3Lz+S+X77
md/HO1rILC0XTTqzDfwMYBJ+wzTo2AKTMQ4kBmTLCM6YefxO0dUzHpPfQvjDSMjVbdffZzz2L7Aj
GBpYwNyYGv2zGQ9GkB/aYI6JWg+tGH8xlpI+Dbgfm5zVQghpEMyEmlQsN+vMgCW/GiOpQ1WJhmKC
n1rFjp5EhC43tqqrkO7MOiME47UN/IW3RZiDbCVTmXlmtNS5jsvz3C9LI9lokj1gr+y8mk8lksPs
Q7zY9alsF/M1YTuhVoJmPVGB9HvnTW4Mg7WPed6evK7z5LGt1TBcTJi9x6umgsIadenEG1dmMwxw
N72qCFVbYxdkaD8bJ7Mnk2PVVH64FkmxyE09N58BdjXs76LsaA+TObNZ98VX3DC9Q5phaO+UH6Ar
CcYCFYftRvEVNuHx2Ge9dzCavjkOZY4kuomL6W6oDYA2PRIWqT6MBQFsESHssOZwU/Cp5iX5MDkt
4paeiJKevVTEu6c5JItoYEGMZLh0eLMycsLA62hNs9DyZglIpl0vOC8XwUvX5iqbSy9uYy2JJnmx
vW2rMSHAlpb4F67IfJm+SagXLafu3qTVXkP1ho5ErCp7dKdq3/hVlG3lJMerEuo2APSDl1EToYNw
F18z5omeiTo4PgQjlPWEja0aeu9y6aeiweCHlkPgHB6jFB4RrIOQsJvhKHLaI8Ml8atJ7HY0l1zl
Y1T1Dc+rED049qfBkuK+BWN2m9XKmF7BjFfJN8W249sMvEizmUmcysUDMddi53axx46qInbuY4WH
FtZErobTGKbphVv0VFRekwYReLE+OcY2gVhbdr93JJDSjyUkGSphOt5o1PWKTHAyVbMpLTdzBa7Y
kEJc+ITPbEMs17sljlO8+VRRcTXdd+xY4w1ML7mJtUQK1VUXXvh+59lr2+Jq0/30gwN24aHbZtbs
HImNamAhLe1LKavsi+xqAIEqbV0gVTVxkJ0fEOIN/qMB1t4qcdFaHZomC68cELNEHIjx+hwlNggN
MFMOxrcEgm4JfvZz2Ngmb3473+WTY+wHCzyix+GuMteqEJCI6a4oO7GPxtRPbuj4eaucblNPBW2m
l1KE9Ujl2A70rtziOIymcx13wPOp5TP75PrJclEEC7xGJPfki0cvfMZk55vEVPRZSCYHeeab3nZP
2Jbaj+Ctgs9RE6ldmS+YThNSkhg2FRc9HaqnpF3YPnvOnb6zbwJBa9XTMXj4pa4WTOwreEvd2rcq
Z+fHlURgaFXmt1LM5k3ppOFHTH7LZVPbI6G9aXZoM1rCc+yG+yQZ0n0Qt2T01RWlzpi2+8pt1ENo
0y6EWiN1E/N5IaSssJJ6jVPZPWFld05VXBuHhBYzCsASNjRFz3jC/y8/5c48QUCblxIzemZa9y6Y
UTgDrfXN8HxwkR1XY6cbHMcewyitdLVu4oAttkHehlqlg2s/VBYRvWvpDeUX25/DRyeB/Lwq08b5
tcvZSxWqbfkzKuOY+ZlcW1Zl0CEesuNouuVFOpGOCHAREzZ0fIiSoX+YHAIrxqogSbR3p2TXOaHg
Ru+7+FKoqH9EIpSuM67PI15ZrLwJeVxyPtEFNNZOGqiDQeQ3km6r9i58/McK+kMGDM0toluV+fGB
5mfxim5EbTITJ/6qyk0yWon6MFezKY4ku92jEfGPszVMkJ5n50EY0GBWYpzlQfVWgPxkeQJvKDYA
cnCI46QFsJlhToZ3aH0mLHpEvd4bm2kUdrJBU+R8IhlGbSxRLfflpGJGc81IWHpbwFtJSm1oTekz
edMX8quG7SCt7luYspEFY7ZsS7Ia95MtrY+yWPKbRcTqZpj85XYunHKn92+3smmqSwIxzQcPbmW6
btGN1ruybEO4erX5QppKs7EBhN0nDAkx8I7EIUdJT5Ku6MJv04I2uRgK75Mlu8XYLNxa24UlZx11
8wC/M4zoQdEBO/ojgkUPeNGVBCtJi9mwdnYo5FNYq+rSH53oolQNIwYBNYuNMwivWUXz13jGNe4M
YZ1AJAkIsDFnAisjxNHrYMJrLsQgj0sDfGtty/orVHqQF1Dq2ZrI8mpKsNAaZICdlqIc7zLP2PbM
467ApjjxypvjKDhaBFRe4Y5H3Sbr5DPYRjqVdA2vKCDnB3MULdQ7N1L3tqLOHvxuOpZTENurMrDJ
H4ti86YZqvRDrsr6Q+gXzW3RZwFDhyC+7KcaSgKJWE+isectWdRQKZth3gYIulcmpmwyMTjbkhgg
aXbHguwwXIRe/4SiGZxdbLfFxgDJunYdu9wyfzFv69YLra3nw0srAF92a/KA50sCRnKNj9QxkqVt
cR076uPJc/AXR+5+ngiMWSegMS9ELNwv6GBMY10GRXwbdtG4dhNTfZgXOK2mvfCi9wtGpitaMfHO
xfx98thqPgLmQ6VlOA1d/jDwYxg5sBAgh4C0qGxoiueK7z/F8d8UxxaqG+rSvy6OP3xtu//1pySz
t5/8rUT2PEw2rusifjnDprVt77cS2ZfE9krsN+6bEEl+J4Myf3EZ3eIE8PD7oNyhev6tRLa8X7Ds
uCaaeqzPOuLrn8igqLh/LJGx0bpkVtg6P1jQejiP2L8boYezDcknCaNjm3v9ZekX9PkKWbWX1pzb
m8zWzKq0tyh8BBnZ+OOpRqaY1RfIQRo1Bqt/0Hu7plPNA4M2A9lpRk/V77J9pAzaSWduAuCTegeq
H5rCpMEKaI28ZtcnfaCZApR1GPKczFnZqeNuBoV81NGYhjpg6uWn8NybOWyIp/PDJ95xQH0HpwnW
yk0+gv5/Fmf+A5mh89PSDegY8FHv4sEwN50mRoSaHYGODYzEpIkSdLuAS1CV1vcO2aQnfgQybmN6
lASlcRcHVdJuoikZDw20lKtlnIvV1MKwWDTNItFcC1Tc1g7wUHRLoqYLtnLRZw5uqd0iNYo3sSZk
kJrGayUa5/whjBxnBxCN+IeW3/ZM+BqUGU/AUh2dYDlc+fa88wfwDAYr0SaEOEJ6QWx3DykEodug
FNZdcIZ5lGewRzn3Lnhb31g2RJSqFfFbJO3S81i50F42fGaCC1tAJnZJzJ+kiIWuY33o07Q6MLNn
VAZjRPTRTYjTnF7TTOTTxkOGvrad0V4VWbjYSKNp+eFmohz23aWDW9kdyHTtnuwWue6KekdsjQFH
oZ3MFmyStnD4Ppz+tPjy0IFKgTbsbHpNT0Hz+xwUhGCqsXma09mGZ20Wn8kpmS9EBBAin/0Ie8S8
DUXnAPkPw/vWLizCTr0yu/KTvL7OzjAXleWRx3u/dLE0tO5tahkBuQ3e8CloAnk347HcOqE7neal
+tqdkTHFvLjboI7D2wVuy8VE06VJXGtt+dBmMJww7BPAY/oCL72wuo9kbBWg07z0GJ2RNeMZXzOd
UTaEH7WfzbGGx5oMqJTyyrnURreHlO3NxnCKHmZFW7vrbsi5ZGOVN1fwwz7TiuqvjUoaaMTNr3aR
4+wYIQ7nTlEfB83eyTSFB9iwaDd5M/ufeG/3j4uheZpDkFGGYjMhXlUDfcwz3CdwyyIjYnIcPwN0
K82NmJlbkHZV87ZM9YZp4VveOh55x8xmBvNu0CyhVFOFqppNOLTaObgbKnk7OuLT0qpPZtMjnWcm
33hmXh2UGzPKtP8fd+e23CaWheFXSc29XJwPFzNVo5MtK0467vQkmRuVYiuAAIE4o6efbwO2heyk
04NrohoqN22pl2Cx99rr+P/0syeXhQAwAjbF+ETr/kdnFW8kcufgNwvAo0RAH+ngGlvv3UCjogtQ
FHQOhnLlYHNukQA2oJq6MHh7S4ZoykUFPyZJZQM2qknupKVykzbgS9aqShxapOMvYQPOlAicpkRK
51uB3FQIDKdEoDnVDa5TAcJTDtQTSCruwm/gn5SDYoVX+UoObZBP6u0SIJotcPIp2HrjCvqHm1RX
VzNTjdwF5SB5to+JZgxzNJrKsWF90pKw1sfZYbmTzNGVk6XupW+R+1oZymiur8j92lJdzncimHUg
Xvlcgbo3DYFpXlqeSck7g66QQi2ZwFTzx36y1T/QseHPYgOIXhhecJoL5hS2+5AebV+F0QvkiMtC
S71JIYfOTVkAbz/Jt4cDrUGSvtBB2bupAGn9Vwlgax4scxr94T1LYyrpTkQWeaSG8228NOrqM0Ds
xjQiu7yoQPud6XxrGehSdCMH6p5eLG0E7vE+2iv0jQALbi58owAEx0z2H1Q7UT8yBwezr0HaztVl
fJI6PtSQO68ic2IHvv/lQF6QpmuzXOqazHRfUoDsaG1JheduNaYrMJlT6gZN+1C8Cw5O/Y0SY8Gn
pjl3dQf+HZyYHFDG9E5bGSCRm4Adj11jJ5N4kPLFKqwD6rur5K0X5P/mYIFtNwuKq91hX7JLV9Ho
MM7ismQQKfSyO2XHaTMzNTN9q4Ure1448u8OfUNX6iiUlrQNxJNkZ20v8TnDMSNaV2lMKULmgJ3t
zKgGIXdUXAH9Ki2kmhb9le27C6PUKuDzLWlpZEwZkNSy8Kwk5W0OCP2y2pkeVezgdiUwZ83UMS/J
ZKfWeJV433IKsxF9KqSFyHdqk1IuAnpKlP2CTH1IwcTx91NJMF3LkeBXUOqJzha9cWOHXCk4uRM/
iEeT+uDbU13x5Gsc1NW8zPfLKgz3M+lQpfcAiFUTJ4xLemcCcPFUxmUODKcvkgNs5YA0LRw9oZUA
mqLcL7+GIWGhRDl5BtHKH5GcuAsrSZ2rvASyLlxZ7wpG7ZjNAhc7VHYkrwv9Q6l54TwZpeA2b29z
KR19KN3tbxV6vV5VsKMnUvDOMcPDvDJ8IHkrz9GZxihSY64fgNXRfBsKRL3I4Tai/PeH5lOsLnP0
ervPPce4JiilGl2nkhPNFE7OBE6MCn4XCp41LANaKZhfDJqApJm7sqkUhcR7o89lqsAX44GUd4DO
ABoZCkWCUqby5QBySDOT5foq1r3fdTMxttBbHHBlUlin6fWhFsyIG+h+CvFqNJZkkOXqSK70sZQf
9u+VSBm503ibHD6pcV59CiOpujYZ2V/m+116ua9HcIQXoVlB61tTFWTQpMT0Bzt0AEjMVc0oF01g
WEzLHxlr8nBbEu/59poB5Vwd61Ab3FqH3LsOpTAFm5DRB+pW81qxnPu9ko8u06zUf0traz8vrb3M
YFS23Y3DHebVpyAMt3ZN3y/Uws6/tHoVT80tszwJYSdOR6hqV15ygFlPOoDCXIKcWI453RjPIAWj
LpM4D90Zc/8xkbhS54zPcHJJcx0MbyqdtQsdfGrmwGD6VKHqVN4504OVFvmigaYKXH/EJOPewPFb
SblPH41mv5f1kZFNouyw9+aEufYssmx68Vw1h+rJ2UtfUh0yn2m1lbYfLDfZ39JZUab0ntUeOPi2
fpnCpDFPaEG+OshuBTKXXxXSWKoTU+TF6uxTAOTFdEW26W24tUJ9HPDyPx9UT5sbqX6pZjBFjb1D
xkwISFS0xlHYhq1KLa4ciEMgd/CIntVqFL7TalHhwQPaA6RtKLR/eZr0CRD47cSJIX6C1km1KB3V
IC2wXDKJAC7LPmO8DzMVJS2Bcf0KxbzPxqb+MuaNAsAU+CDBjG2gbWdllm/rcZLryiSD+ysWqdbw
/W6fAu1m+G4+y3T3JtZLkPfLMHtb5qa+MFwrriGXtfQPaZDkPnTzu+BSE6z0Ni/t2spTQLqCnVbf
VyvL/beNz/2HUhvmcqXByD6B+N58m0q4ZtOVIzv2TQjgyESpzc8ZzHGfYHSlzc7RNYjHCfSVSpcW
Cf2FCewJW+OLGmv0SYL7BWoRncicJYp9EzBmuFFgLaRk7slr7Kl37ZUjmfqaZnwuCj+tJ1Dxmqv5
CNIWBiqlg0JSMEwY9M7UW7C71JlulORRaG6c0XlmX4Ijls/0qigoOBYlJAJOeZuazBBudyWQYLoP
5b0fu2tg/+GHVaJIm8texAxGLMegKikkFMOo8gD3yfYzwn9jrhSSeU9Xf/WWfn3wLfaH+PdYZI8n
2PPtN1KJ6Ud7JwWfHVkKHOaatvY1OM2ra2AZpWspXjEEwHpdAu1hfFAPGbQjzKEtFLoqZqMDPPGy
qcWzGj42fH8SS7q+YobSzFwf0xzu5qUR65fbYLRbVBLAejFULx8j0D9poUtmWbyHdM6hlXMrgNW2
AmINI1FM2YBsFrNQpmmB5VPBcJ64Ap7NF0BtdYPZ5gv4tkgAufkNpJuHjxKE0h4Hivyd22C/mQ0M
3B5AuCKLynujQYmLBWBcoQjsuFLAyP1/xf9dImO6ztazBofjQ75J6ttNmgfZI+Oi+PS3yNtlH6P/
7ksPBFEvC3qz+RkEEKza6TxVc0/NDf9IRLDOvCy/3/z9b6p2wRgNwwqANzQXyYQgYp67/XhkK+CA
gOwAnofUXAT7ZDCOdPQ9Lfz4AVt1/vg7vSe4i+hwFq+BBo0TbnNKcL2kynd0cCLhSAf2hS4xaw/K
SPuM1Bx7OqC6yPyIodpaq6P2B//3OljfgwI19dIs8e6yY1gX/N9nFKbf0cKJjCctAPlk2WSVuvcs
SSytYy2QdmKGBm4sU3pcKb9kJZw8QbtTFvdgAVIa/rmlcCLiSQkqADbUiBVFYGsdP71lXDBrAW66
xEBXc/2ifXBy60dPb2vt3myHHx7tyl8zBgqxg4DCa5/xRAkyUGJohwkuquDiaq3POW0EjUhw4BrQ
1AuafAwLjtjHV328FAAgvXiEN/o1xvC7i4B3R/b2p8zhiYynPaDJF0QPMlwU7UuWyBQfP79tXzD+
IwYbf/GRcPIET1tB5ywbqARy4tTfMYcM8z0s9WMlENBfMAgqILDAqBLXudkDRnMZGvuZg/FEj08r
QbVAAaShhqLAy0qQxAA1kD9Ga3fPyBAQ7J7WWv7ygcg+MHVZJ3Z+8elNzgoK6e2w+XmdhJYl+paG
vXvRUsXILO2t7fpmgR9vAFO/oM/KEEi57ee/yjE8Wb1PVoDuHDGnPUgLCkSxAoaOMsiLa4CCm2aZ
Kuix3RfObiO8RJ30V3cCxhBcN0Y/DWh7xHUSJJjWhfAbgX/rPj87LXBmC/jAQWsB39DQRM+fjaMp
rhMH2QIyUSOG0IDza67z0wIgh7h0g7SgKRf0XhpES3QqiIunPLYLtkowRYOMzGByc7WH0BkdDYyo
P6vD/9UdQbAkg1zGydd5yifW0bIv+BnAMYCraK9G7WekBZVJ2sHxAvih9BJoFqa2uU52BJ4ijfUK
IWMXNLVH8hlpgZdkDT0jVBtAGtsG++Fp3x/vCEJHnAQsI8Fjc53dSQm1nehjHmYXNPpLQCqkOftx
xfe0YOMtCUhXAASa6+ysI/xVw2NHhdgRegSRKHh4ymMt4DXRy0MT+UOEfX7WkTMONMpBa0H4C8yG
WaIXqblO/AVLZ0eYAPvK3Vo4ux3BBIKAdhmmBYIjoKVAXul2xEk2xeSMAEncopWrXSvntxZs/Nqh
WgBJnnSBxLjii3bBlkk7gpaqWJ2Wzi+5Co71UC3gNZEswDc0uxV/clKaJNYkktBgBjX6PqMjUiHV
MTSRoFFl4NmB0+kWwXODgGIEKWj3+dltBQ6HwcEktRaAywTSTLfhT1xnptouwKcChtxqbc9ZrQJN
MOYOMoiacUEhn1j6IXF4sglsTfShgu8oJrv4pbN6fF2kQQc9vqgt0AFsPoYEz2MG8uoKybbOdzi7
TaBqhjLUFOAtqxhCEktdVg21HntITY3B5DygxfnsVgHN0UNPAhWvwAK5i5m59jrdBPhOLelKl0s5
u8QyHL2DTQGZZZJJBEyM8jbXySoQZWf8QxMAgtZrOEMPkZLxUIvAXmgxSZ9Kqv29YNDPj4toWm1o
eX7HAjMIgzNK5FI48wgdX14LJpElRhNao86BPD8PkVmroTETGSWNNgsB6do+5qmLxOkBRRi55qcm
hTM7I0XlfOCOoPZIvxxpgq6o8CzTTE0Gjg5JFKGbqzXHZ+QpkFaTh64FlQo0HfE4i92OOHEULdGq
QZqZs7LVwtmdlCQ+BWbzIH9JM9kRggODiaXmOomf2zq8SFd0h8jZWUcVjPzBZ4RO4wlpFNCWXzwp
yS6qmqqIWvSjP/GzduEnts1jw9vE9YL7mehK8zbpSx1x3/vCQ4/X88+7/i7RusNc4uPMWfNFMUvX
/nZb0BP//Y9eqa8JD44+fAgXjv/37gGf//SLN/Xwxytvk6xhBoBenMetu9t8tw7pl/tnsP66DtfH
zVfsUfbn0538/W+9+zzaBX8iOPVP5Ap85sFyE0Cj+4gboDywKocL9te7dJ0+SGo6sJqGxKGSJ+vA
+xYlO6+njrapY7DsKIiS9X10fNdtp8Rwybvd5i7z7vKsJ7xpRBgqfLoJ1uU62RxLbov8gyV37YRv
om9v4CHMw699tYO1/wqrEDaNxLvvvc+uPD/0/i83UeL0b7kr9g6VfIXGPe9Y4+C+CLj5oYIX92u3
twBljXarV5ALMuUu8vo7si12Dr7l3b13gtvTlc4GS47K/rJoa9RDxS6f2yZoEuThSl5yZ/mdXz9I
asxeWzMZes9vI5iAnqm5zcEPlX2z9nY960Gm7TWOl5t1Ugfr3f2xOkhhiTT28FtO0/Wdm6ebLOut
aYCcREJ+sHzvzvWcdb+ZvE12DxfNWZBGWW9lQwki8ibDZaepx7847tkmsjIiQ/ka0qM8ORX9Kjf+
feyv7w87PEYQP/Kd3m2+JoA597XddsIO1ce7TbHun1uE+iLxM1xw+eZqHcap6/WPdeTbr7B73m3K
N9ebJN30LBVlDJGveY2bv9lU3l3vGOtqJK8h/EuU+A+32cQHbW1+sOgoydw3k3UScVL2l0tb8H2d
H5iu/dO9D/gHuZGh4t+7Xl/jbeJpsFg/wCPpRzVw7Ihc92DRycY5nddpWvSHCv5ts9sJpLL1SZjQ
jcIMFX/rRvebN4v02dnWJrmGiv89yr+zELv80ev8wPOFKMSTWRwq/iPa36TppudSdOmO4bKrflTZ
taoNlftHtnYfnlzYlK6aNVTsD1i2Bx5rL0IB0WD1Cobkx0xrA+/7T3GMhsr30rsIlsKe59b1sA19
m58g7YCCrrdODLBIH/7wIsbTU76tl2l6rGD3/nqUO/vTL5ABEymsu2CzTv7xHwAAAP//</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sz="1000" b="1">
              <a:solidFill>
                <a:sysClr val="windowText" lastClr="000000"/>
              </a:solidFill>
            </a:defRPr>
          </a:pPr>
          <a:endParaRPr lang="en-US" sz="1000" b="1" i="0" u="none" strike="noStrike" baseline="0">
            <a:solidFill>
              <a:sysClr val="windowText" lastClr="000000"/>
            </a:solidFill>
            <a:latin typeface="Calibri" panose="020F0502020204030204"/>
          </a:endParaRPr>
        </a:p>
      </cx:txPr>
    </cx:legend>
  </cx:chart>
  <cx:spPr>
    <a:no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microsoft.com/office/2014/relationships/chartEx" Target="../charts/chartEx1.xml"/><Relationship Id="rId3" Type="http://schemas.openxmlformats.org/officeDocument/2006/relationships/image" Target="../media/image3.png"/><Relationship Id="rId7" Type="http://schemas.openxmlformats.org/officeDocument/2006/relationships/chart" Target="../charts/chart1.xml"/><Relationship Id="rId12"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image" Target="../media/image5.png"/><Relationship Id="rId10" Type="http://schemas.microsoft.com/office/2014/relationships/chartEx" Target="../charts/chartEx2.xml"/><Relationship Id="rId4" Type="http://schemas.openxmlformats.org/officeDocument/2006/relationships/image" Target="../media/image4.svg"/><Relationship Id="rId9"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183241</xdr:colOff>
      <xdr:row>0</xdr:row>
      <xdr:rowOff>163286</xdr:rowOff>
    </xdr:from>
    <xdr:to>
      <xdr:col>19</xdr:col>
      <xdr:colOff>580571</xdr:colOff>
      <xdr:row>39</xdr:row>
      <xdr:rowOff>172358</xdr:rowOff>
    </xdr:to>
    <xdr:sp macro="" textlink="">
      <xdr:nvSpPr>
        <xdr:cNvPr id="2" name="Rectangle: Rounded Corners 1">
          <a:extLst>
            <a:ext uri="{FF2B5EF4-FFF2-40B4-BE49-F238E27FC236}">
              <a16:creationId xmlns:a16="http://schemas.microsoft.com/office/drawing/2014/main" id="{2276502B-DE6B-A8EE-6219-BAD8C9954127}"/>
            </a:ext>
          </a:extLst>
        </xdr:cNvPr>
        <xdr:cNvSpPr/>
      </xdr:nvSpPr>
      <xdr:spPr>
        <a:xfrm>
          <a:off x="183241" y="163286"/>
          <a:ext cx="11945259" cy="7084786"/>
        </a:xfrm>
        <a:prstGeom prst="roundRect">
          <a:avLst>
            <a:gd name="adj" fmla="val 1481"/>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217714</xdr:colOff>
      <xdr:row>1</xdr:row>
      <xdr:rowOff>18142</xdr:rowOff>
    </xdr:from>
    <xdr:to>
      <xdr:col>2</xdr:col>
      <xdr:colOff>399142</xdr:colOff>
      <xdr:row>7</xdr:row>
      <xdr:rowOff>128235</xdr:rowOff>
    </xdr:to>
    <xdr:sp macro="" textlink="">
      <xdr:nvSpPr>
        <xdr:cNvPr id="3" name="Rectangle: Rounded Corners 2">
          <a:extLst>
            <a:ext uri="{FF2B5EF4-FFF2-40B4-BE49-F238E27FC236}">
              <a16:creationId xmlns:a16="http://schemas.microsoft.com/office/drawing/2014/main" id="{C0AAC6F6-D781-11E0-0C3C-A5C30D46BF00}"/>
            </a:ext>
          </a:extLst>
        </xdr:cNvPr>
        <xdr:cNvSpPr/>
      </xdr:nvSpPr>
      <xdr:spPr>
        <a:xfrm>
          <a:off x="217714" y="199571"/>
          <a:ext cx="1396999" cy="1198664"/>
        </a:xfrm>
        <a:prstGeom prst="roundRect">
          <a:avLst>
            <a:gd name="adj" fmla="val 5315"/>
          </a:avLst>
        </a:prstGeom>
        <a:gradFill>
          <a:gsLst>
            <a:gs pos="100000">
              <a:srgbClr val="0070C0"/>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446313</xdr:colOff>
      <xdr:row>1</xdr:row>
      <xdr:rowOff>27214</xdr:rowOff>
    </xdr:from>
    <xdr:to>
      <xdr:col>19</xdr:col>
      <xdr:colOff>544285</xdr:colOff>
      <xdr:row>8</xdr:row>
      <xdr:rowOff>-1</xdr:rowOff>
    </xdr:to>
    <xdr:sp macro="[0]!RectangleRoundedCorners3_Click" textlink="">
      <xdr:nvSpPr>
        <xdr:cNvPr id="4" name="Rectangle: Rounded Corners 3">
          <a:extLst>
            <a:ext uri="{FF2B5EF4-FFF2-40B4-BE49-F238E27FC236}">
              <a16:creationId xmlns:a16="http://schemas.microsoft.com/office/drawing/2014/main" id="{CB2CB9A8-486A-4972-82C3-7325AB540F84}"/>
            </a:ext>
          </a:extLst>
        </xdr:cNvPr>
        <xdr:cNvSpPr/>
      </xdr:nvSpPr>
      <xdr:spPr>
        <a:xfrm>
          <a:off x="1661884" y="208643"/>
          <a:ext cx="10430330" cy="1242785"/>
        </a:xfrm>
        <a:prstGeom prst="roundRect">
          <a:avLst>
            <a:gd name="adj" fmla="val 6448"/>
          </a:avLst>
        </a:prstGeom>
        <a:gradFill>
          <a:gsLst>
            <a:gs pos="80460">
              <a:srgbClr val="0070C0"/>
            </a:gs>
            <a:gs pos="100000">
              <a:srgbClr val="0070C0"/>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217714</xdr:colOff>
      <xdr:row>7</xdr:row>
      <xdr:rowOff>163285</xdr:rowOff>
    </xdr:from>
    <xdr:to>
      <xdr:col>2</xdr:col>
      <xdr:colOff>444500</xdr:colOff>
      <xdr:row>39</xdr:row>
      <xdr:rowOff>117929</xdr:rowOff>
    </xdr:to>
    <xdr:sp macro="" textlink="">
      <xdr:nvSpPr>
        <xdr:cNvPr id="5" name="Rectangle: Rounded Corners 4">
          <a:extLst>
            <a:ext uri="{FF2B5EF4-FFF2-40B4-BE49-F238E27FC236}">
              <a16:creationId xmlns:a16="http://schemas.microsoft.com/office/drawing/2014/main" id="{FDB5FD6F-586B-4FAB-A6F3-5B262C347E3E}"/>
            </a:ext>
          </a:extLst>
        </xdr:cNvPr>
        <xdr:cNvSpPr/>
      </xdr:nvSpPr>
      <xdr:spPr>
        <a:xfrm>
          <a:off x="217714" y="1466130"/>
          <a:ext cx="1452993" cy="5910506"/>
        </a:xfrm>
        <a:prstGeom prst="roundRect">
          <a:avLst>
            <a:gd name="adj" fmla="val 2831"/>
          </a:avLst>
        </a:prstGeom>
        <a:gradFill>
          <a:gsLst>
            <a:gs pos="100000">
              <a:srgbClr val="0070C0"/>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498929</xdr:colOff>
      <xdr:row>8</xdr:row>
      <xdr:rowOff>54428</xdr:rowOff>
    </xdr:from>
    <xdr:to>
      <xdr:col>5</xdr:col>
      <xdr:colOff>508000</xdr:colOff>
      <xdr:row>14</xdr:row>
      <xdr:rowOff>136070</xdr:rowOff>
    </xdr:to>
    <xdr:sp macro="" textlink="">
      <xdr:nvSpPr>
        <xdr:cNvPr id="6" name="Rectangle: Rounded Corners 5">
          <a:extLst>
            <a:ext uri="{FF2B5EF4-FFF2-40B4-BE49-F238E27FC236}">
              <a16:creationId xmlns:a16="http://schemas.microsoft.com/office/drawing/2014/main" id="{D30995DB-30C6-8FD0-D7D4-DDC7EC1022AA}"/>
            </a:ext>
          </a:extLst>
        </xdr:cNvPr>
        <xdr:cNvSpPr/>
      </xdr:nvSpPr>
      <xdr:spPr>
        <a:xfrm>
          <a:off x="1714500" y="1505857"/>
          <a:ext cx="1832429" cy="1170213"/>
        </a:xfrm>
        <a:prstGeom prst="roundRect">
          <a:avLst>
            <a:gd name="adj" fmla="val 919"/>
          </a:avLst>
        </a:prstGeom>
        <a:gradFill>
          <a:gsLst>
            <a:gs pos="0">
              <a:schemeClr val="bg2"/>
            </a:gs>
            <a:gs pos="0">
              <a:schemeClr val="accent5">
                <a:lumMod val="60000"/>
                <a:lumOff val="4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517071</xdr:colOff>
      <xdr:row>8</xdr:row>
      <xdr:rowOff>63500</xdr:rowOff>
    </xdr:from>
    <xdr:to>
      <xdr:col>9</xdr:col>
      <xdr:colOff>63500</xdr:colOff>
      <xdr:row>14</xdr:row>
      <xdr:rowOff>145143</xdr:rowOff>
    </xdr:to>
    <xdr:sp macro="" textlink="">
      <xdr:nvSpPr>
        <xdr:cNvPr id="8" name="Rectangle: Rounded Corners 7">
          <a:extLst>
            <a:ext uri="{FF2B5EF4-FFF2-40B4-BE49-F238E27FC236}">
              <a16:creationId xmlns:a16="http://schemas.microsoft.com/office/drawing/2014/main" id="{325A833A-F106-4293-A4D6-F130C9F6F37D}"/>
            </a:ext>
          </a:extLst>
        </xdr:cNvPr>
        <xdr:cNvSpPr/>
      </xdr:nvSpPr>
      <xdr:spPr>
        <a:xfrm>
          <a:off x="3556000" y="1514929"/>
          <a:ext cx="1977571" cy="1170214"/>
        </a:xfrm>
        <a:prstGeom prst="roundRect">
          <a:avLst>
            <a:gd name="adj" fmla="val 1598"/>
          </a:avLst>
        </a:prstGeom>
        <a:gradFill>
          <a:gsLst>
            <a:gs pos="0">
              <a:schemeClr val="bg2"/>
            </a:gs>
            <a:gs pos="0">
              <a:schemeClr val="accent5">
                <a:lumMod val="60000"/>
                <a:lumOff val="4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506187</xdr:colOff>
      <xdr:row>15</xdr:row>
      <xdr:rowOff>1</xdr:rowOff>
    </xdr:from>
    <xdr:to>
      <xdr:col>9</xdr:col>
      <xdr:colOff>63501</xdr:colOff>
      <xdr:row>25</xdr:row>
      <xdr:rowOff>145144</xdr:rowOff>
    </xdr:to>
    <xdr:sp macro="" textlink="">
      <xdr:nvSpPr>
        <xdr:cNvPr id="9" name="Rectangle: Rounded Corners 8">
          <a:extLst>
            <a:ext uri="{FF2B5EF4-FFF2-40B4-BE49-F238E27FC236}">
              <a16:creationId xmlns:a16="http://schemas.microsoft.com/office/drawing/2014/main" id="{42664BEC-C64C-4AD4-9BFC-0A6BB16C473C}"/>
            </a:ext>
          </a:extLst>
        </xdr:cNvPr>
        <xdr:cNvSpPr/>
      </xdr:nvSpPr>
      <xdr:spPr>
        <a:xfrm>
          <a:off x="1721758" y="2721430"/>
          <a:ext cx="3811814" cy="1959428"/>
        </a:xfrm>
        <a:prstGeom prst="roundRect">
          <a:avLst>
            <a:gd name="adj" fmla="val 897"/>
          </a:avLst>
        </a:prstGeom>
        <a:gradFill>
          <a:gsLst>
            <a:gs pos="0">
              <a:schemeClr val="bg2"/>
            </a:gs>
            <a:gs pos="0">
              <a:schemeClr val="accent5">
                <a:lumMod val="60000"/>
                <a:lumOff val="4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504373</xdr:colOff>
      <xdr:row>26</xdr:row>
      <xdr:rowOff>0</xdr:rowOff>
    </xdr:from>
    <xdr:to>
      <xdr:col>9</xdr:col>
      <xdr:colOff>61687</xdr:colOff>
      <xdr:row>39</xdr:row>
      <xdr:rowOff>117928</xdr:rowOff>
    </xdr:to>
    <xdr:sp macro="" textlink="">
      <xdr:nvSpPr>
        <xdr:cNvPr id="10" name="Rectangle: Rounded Corners 9">
          <a:extLst>
            <a:ext uri="{FF2B5EF4-FFF2-40B4-BE49-F238E27FC236}">
              <a16:creationId xmlns:a16="http://schemas.microsoft.com/office/drawing/2014/main" id="{62BACF85-4EFF-4595-8E77-66DEA2629F18}"/>
            </a:ext>
          </a:extLst>
        </xdr:cNvPr>
        <xdr:cNvSpPr/>
      </xdr:nvSpPr>
      <xdr:spPr>
        <a:xfrm>
          <a:off x="1719944" y="4717143"/>
          <a:ext cx="3811814" cy="2476499"/>
        </a:xfrm>
        <a:prstGeom prst="roundRect">
          <a:avLst>
            <a:gd name="adj" fmla="val 96"/>
          </a:avLst>
        </a:prstGeom>
        <a:gradFill>
          <a:gsLst>
            <a:gs pos="0">
              <a:schemeClr val="bg2"/>
            </a:gs>
            <a:gs pos="0">
              <a:schemeClr val="accent5">
                <a:lumMod val="60000"/>
                <a:lumOff val="4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119741</xdr:colOff>
      <xdr:row>8</xdr:row>
      <xdr:rowOff>54428</xdr:rowOff>
    </xdr:from>
    <xdr:to>
      <xdr:col>13</xdr:col>
      <xdr:colOff>598715</xdr:colOff>
      <xdr:row>29</xdr:row>
      <xdr:rowOff>63500</xdr:rowOff>
    </xdr:to>
    <xdr:sp macro="" textlink="">
      <xdr:nvSpPr>
        <xdr:cNvPr id="11" name="Rectangle: Rounded Corners 10">
          <a:extLst>
            <a:ext uri="{FF2B5EF4-FFF2-40B4-BE49-F238E27FC236}">
              <a16:creationId xmlns:a16="http://schemas.microsoft.com/office/drawing/2014/main" id="{C17A2F6F-3C0F-4DF5-8A97-818F5D427BED}"/>
            </a:ext>
          </a:extLst>
        </xdr:cNvPr>
        <xdr:cNvSpPr/>
      </xdr:nvSpPr>
      <xdr:spPr>
        <a:xfrm>
          <a:off x="5589812" y="1505857"/>
          <a:ext cx="2910117" cy="3819072"/>
        </a:xfrm>
        <a:prstGeom prst="roundRect">
          <a:avLst>
            <a:gd name="adj" fmla="val 1079"/>
          </a:avLst>
        </a:prstGeom>
        <a:gradFill>
          <a:gsLst>
            <a:gs pos="0">
              <a:schemeClr val="bg2"/>
            </a:gs>
            <a:gs pos="0">
              <a:schemeClr val="accent5">
                <a:lumMod val="60000"/>
                <a:lumOff val="4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103418</xdr:colOff>
      <xdr:row>29</xdr:row>
      <xdr:rowOff>90714</xdr:rowOff>
    </xdr:from>
    <xdr:to>
      <xdr:col>19</xdr:col>
      <xdr:colOff>526144</xdr:colOff>
      <xdr:row>39</xdr:row>
      <xdr:rowOff>145143</xdr:rowOff>
    </xdr:to>
    <xdr:sp macro="" textlink="">
      <xdr:nvSpPr>
        <xdr:cNvPr id="12" name="Rectangle: Rounded Corners 11">
          <a:extLst>
            <a:ext uri="{FF2B5EF4-FFF2-40B4-BE49-F238E27FC236}">
              <a16:creationId xmlns:a16="http://schemas.microsoft.com/office/drawing/2014/main" id="{89969C4A-87D0-4906-9C62-FBAC8D52F30A}"/>
            </a:ext>
          </a:extLst>
        </xdr:cNvPr>
        <xdr:cNvSpPr/>
      </xdr:nvSpPr>
      <xdr:spPr>
        <a:xfrm>
          <a:off x="5573489" y="5352143"/>
          <a:ext cx="6500584" cy="1868714"/>
        </a:xfrm>
        <a:prstGeom prst="roundRect">
          <a:avLst>
            <a:gd name="adj" fmla="val 516"/>
          </a:avLst>
        </a:prstGeom>
        <a:gradFill>
          <a:gsLst>
            <a:gs pos="0">
              <a:schemeClr val="bg2"/>
            </a:gs>
            <a:gs pos="0">
              <a:schemeClr val="accent5">
                <a:lumMod val="60000"/>
                <a:lumOff val="4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18143</xdr:colOff>
      <xdr:row>8</xdr:row>
      <xdr:rowOff>32654</xdr:rowOff>
    </xdr:from>
    <xdr:to>
      <xdr:col>19</xdr:col>
      <xdr:colOff>526142</xdr:colOff>
      <xdr:row>18</xdr:row>
      <xdr:rowOff>72572</xdr:rowOff>
    </xdr:to>
    <xdr:sp macro="" textlink="">
      <xdr:nvSpPr>
        <xdr:cNvPr id="13" name="Rectangle: Rounded Corners 12">
          <a:extLst>
            <a:ext uri="{FF2B5EF4-FFF2-40B4-BE49-F238E27FC236}">
              <a16:creationId xmlns:a16="http://schemas.microsoft.com/office/drawing/2014/main" id="{D80EAB66-FFC8-49A3-99B0-22E91E67E4E8}"/>
            </a:ext>
          </a:extLst>
        </xdr:cNvPr>
        <xdr:cNvSpPr/>
      </xdr:nvSpPr>
      <xdr:spPr>
        <a:xfrm>
          <a:off x="8527143" y="1484083"/>
          <a:ext cx="3546928" cy="1854203"/>
        </a:xfrm>
        <a:prstGeom prst="roundRect">
          <a:avLst>
            <a:gd name="adj" fmla="val 3972"/>
          </a:avLst>
        </a:prstGeom>
        <a:gradFill>
          <a:gsLst>
            <a:gs pos="0">
              <a:schemeClr val="bg2"/>
            </a:gs>
            <a:gs pos="0">
              <a:schemeClr val="accent5">
                <a:lumMod val="60000"/>
                <a:lumOff val="4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1</xdr:colOff>
      <xdr:row>18</xdr:row>
      <xdr:rowOff>94340</xdr:rowOff>
    </xdr:from>
    <xdr:to>
      <xdr:col>19</xdr:col>
      <xdr:colOff>515257</xdr:colOff>
      <xdr:row>29</xdr:row>
      <xdr:rowOff>63500</xdr:rowOff>
    </xdr:to>
    <xdr:sp macro="" textlink="">
      <xdr:nvSpPr>
        <xdr:cNvPr id="14" name="Rectangle: Rounded Corners 13">
          <a:extLst>
            <a:ext uri="{FF2B5EF4-FFF2-40B4-BE49-F238E27FC236}">
              <a16:creationId xmlns:a16="http://schemas.microsoft.com/office/drawing/2014/main" id="{24E7372D-2553-4BF6-A46E-3AEDC606EF67}"/>
            </a:ext>
          </a:extLst>
        </xdr:cNvPr>
        <xdr:cNvSpPr/>
      </xdr:nvSpPr>
      <xdr:spPr>
        <a:xfrm>
          <a:off x="8509001" y="3360054"/>
          <a:ext cx="3554185" cy="1964875"/>
        </a:xfrm>
        <a:prstGeom prst="roundRect">
          <a:avLst>
            <a:gd name="adj" fmla="val 1769"/>
          </a:avLst>
        </a:prstGeom>
        <a:gradFill>
          <a:gsLst>
            <a:gs pos="0">
              <a:schemeClr val="bg2"/>
            </a:gs>
            <a:gs pos="0">
              <a:schemeClr val="accent5">
                <a:lumMod val="60000"/>
                <a:lumOff val="4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81643</xdr:colOff>
      <xdr:row>1</xdr:row>
      <xdr:rowOff>90714</xdr:rowOff>
    </xdr:from>
    <xdr:to>
      <xdr:col>17</xdr:col>
      <xdr:colOff>562429</xdr:colOff>
      <xdr:row>6</xdr:row>
      <xdr:rowOff>117929</xdr:rowOff>
    </xdr:to>
    <xdr:sp macro="" textlink="">
      <xdr:nvSpPr>
        <xdr:cNvPr id="16" name="TextBox 15">
          <a:extLst>
            <a:ext uri="{FF2B5EF4-FFF2-40B4-BE49-F238E27FC236}">
              <a16:creationId xmlns:a16="http://schemas.microsoft.com/office/drawing/2014/main" id="{37073968-5CFB-D53E-EEE5-972807FCDEB7}"/>
            </a:ext>
          </a:extLst>
        </xdr:cNvPr>
        <xdr:cNvSpPr txBox="1"/>
      </xdr:nvSpPr>
      <xdr:spPr>
        <a:xfrm>
          <a:off x="1920953" y="276835"/>
          <a:ext cx="9064235" cy="9578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 </a:t>
          </a:r>
        </a:p>
      </xdr:txBody>
    </xdr:sp>
    <xdr:clientData/>
  </xdr:twoCellAnchor>
  <xdr:twoCellAnchor>
    <xdr:from>
      <xdr:col>4</xdr:col>
      <xdr:colOff>489858</xdr:colOff>
      <xdr:row>2</xdr:row>
      <xdr:rowOff>0</xdr:rowOff>
    </xdr:from>
    <xdr:to>
      <xdr:col>13</xdr:col>
      <xdr:colOff>244929</xdr:colOff>
      <xdr:row>6</xdr:row>
      <xdr:rowOff>54429</xdr:rowOff>
    </xdr:to>
    <xdr:sp macro="" textlink="">
      <xdr:nvSpPr>
        <xdr:cNvPr id="18" name="TextBox 17">
          <a:extLst>
            <a:ext uri="{FF2B5EF4-FFF2-40B4-BE49-F238E27FC236}">
              <a16:creationId xmlns:a16="http://schemas.microsoft.com/office/drawing/2014/main" id="{A3674D17-94EB-000A-97B9-A2004268762C}"/>
            </a:ext>
          </a:extLst>
        </xdr:cNvPr>
        <xdr:cNvSpPr txBox="1"/>
      </xdr:nvSpPr>
      <xdr:spPr>
        <a:xfrm>
          <a:off x="2921001" y="362857"/>
          <a:ext cx="5225142" cy="780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b="1">
              <a:solidFill>
                <a:schemeClr val="bg1"/>
              </a:solidFill>
            </a:rPr>
            <a:t>SALES</a:t>
          </a:r>
          <a:r>
            <a:rPr lang="en-IN" sz="3200" b="1" baseline="0">
              <a:solidFill>
                <a:schemeClr val="bg1"/>
              </a:solidFill>
            </a:rPr>
            <a:t> &amp; PROFIT DASHBOARD</a:t>
          </a:r>
          <a:endParaRPr lang="en-IN" sz="3200" b="1">
            <a:solidFill>
              <a:schemeClr val="bg1"/>
            </a:solidFill>
          </a:endParaRPr>
        </a:p>
      </xdr:txBody>
    </xdr:sp>
    <xdr:clientData/>
  </xdr:twoCellAnchor>
  <xdr:twoCellAnchor editAs="oneCell">
    <xdr:from>
      <xdr:col>3</xdr:col>
      <xdr:colOff>27214</xdr:colOff>
      <xdr:row>1</xdr:row>
      <xdr:rowOff>90713</xdr:rowOff>
    </xdr:from>
    <xdr:to>
      <xdr:col>4</xdr:col>
      <xdr:colOff>435428</xdr:colOff>
      <xdr:row>6</xdr:row>
      <xdr:rowOff>123138</xdr:rowOff>
    </xdr:to>
    <xdr:pic>
      <xdr:nvPicPr>
        <xdr:cNvPr id="20" name="Graphic 19" descr="Bar graph with upward trend with solid fill">
          <a:extLst>
            <a:ext uri="{FF2B5EF4-FFF2-40B4-BE49-F238E27FC236}">
              <a16:creationId xmlns:a16="http://schemas.microsoft.com/office/drawing/2014/main" id="{0EA04BDB-786A-1871-6519-393A094F64B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850571" y="272142"/>
          <a:ext cx="1016000" cy="939567"/>
        </a:xfrm>
        <a:prstGeom prst="rect">
          <a:avLst/>
        </a:prstGeom>
      </xdr:spPr>
    </xdr:pic>
    <xdr:clientData/>
  </xdr:twoCellAnchor>
  <xdr:twoCellAnchor editAs="oneCell">
    <xdr:from>
      <xdr:col>5</xdr:col>
      <xdr:colOff>571499</xdr:colOff>
      <xdr:row>8</xdr:row>
      <xdr:rowOff>136070</xdr:rowOff>
    </xdr:from>
    <xdr:to>
      <xdr:col>6</xdr:col>
      <xdr:colOff>598715</xdr:colOff>
      <xdr:row>14</xdr:row>
      <xdr:rowOff>45357</xdr:rowOff>
    </xdr:to>
    <xdr:pic>
      <xdr:nvPicPr>
        <xdr:cNvPr id="22" name="Graphic 21" descr="Coins with solid fill">
          <a:extLst>
            <a:ext uri="{FF2B5EF4-FFF2-40B4-BE49-F238E27FC236}">
              <a16:creationId xmlns:a16="http://schemas.microsoft.com/office/drawing/2014/main" id="{B9F1A1E2-C50E-A47F-D742-3DB8238950B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610428" y="1587499"/>
          <a:ext cx="635001" cy="997858"/>
        </a:xfrm>
        <a:prstGeom prst="rect">
          <a:avLst/>
        </a:prstGeom>
      </xdr:spPr>
    </xdr:pic>
    <xdr:clientData/>
  </xdr:twoCellAnchor>
  <xdr:twoCellAnchor editAs="oneCell">
    <xdr:from>
      <xdr:col>0</xdr:col>
      <xdr:colOff>498928</xdr:colOff>
      <xdr:row>1</xdr:row>
      <xdr:rowOff>90714</xdr:rowOff>
    </xdr:from>
    <xdr:to>
      <xdr:col>2</xdr:col>
      <xdr:colOff>181428</xdr:colOff>
      <xdr:row>6</xdr:row>
      <xdr:rowOff>81643</xdr:rowOff>
    </xdr:to>
    <xdr:pic>
      <xdr:nvPicPr>
        <xdr:cNvPr id="25" name="Picture 24">
          <a:extLst>
            <a:ext uri="{FF2B5EF4-FFF2-40B4-BE49-F238E27FC236}">
              <a16:creationId xmlns:a16="http://schemas.microsoft.com/office/drawing/2014/main" id="{81A44C03-DD09-367C-A60C-3B2C6AEB1571}"/>
            </a:ext>
          </a:extLst>
        </xdr:cNvPr>
        <xdr:cNvPicPr>
          <a:picLocks noChangeAspect="1"/>
        </xdr:cNvPicPr>
      </xdr:nvPicPr>
      <xdr:blipFill>
        <a:blip xmlns:r="http://schemas.openxmlformats.org/officeDocument/2006/relationships" r:embed="rId5"/>
        <a:stretch>
          <a:fillRect/>
        </a:stretch>
      </xdr:blipFill>
      <xdr:spPr>
        <a:xfrm>
          <a:off x="498928" y="272143"/>
          <a:ext cx="898071" cy="898071"/>
        </a:xfrm>
        <a:prstGeom prst="rect">
          <a:avLst/>
        </a:prstGeom>
      </xdr:spPr>
    </xdr:pic>
    <xdr:clientData/>
  </xdr:twoCellAnchor>
  <xdr:twoCellAnchor editAs="oneCell">
    <xdr:from>
      <xdr:col>2</xdr:col>
      <xdr:colOff>553357</xdr:colOff>
      <xdr:row>9</xdr:row>
      <xdr:rowOff>99787</xdr:rowOff>
    </xdr:from>
    <xdr:to>
      <xdr:col>3</xdr:col>
      <xdr:colOff>544286</xdr:colOff>
      <xdr:row>13</xdr:row>
      <xdr:rowOff>1</xdr:rowOff>
    </xdr:to>
    <xdr:pic>
      <xdr:nvPicPr>
        <xdr:cNvPr id="26" name="Picture 25">
          <a:extLst>
            <a:ext uri="{FF2B5EF4-FFF2-40B4-BE49-F238E27FC236}">
              <a16:creationId xmlns:a16="http://schemas.microsoft.com/office/drawing/2014/main" id="{1B8CEDAE-7DC2-1F5C-A9E8-C60B80BE1846}"/>
            </a:ext>
          </a:extLst>
        </xdr:cNvPr>
        <xdr:cNvPicPr>
          <a:picLocks noChangeAspect="1"/>
        </xdr:cNvPicPr>
      </xdr:nvPicPr>
      <xdr:blipFill>
        <a:blip xmlns:r="http://schemas.openxmlformats.org/officeDocument/2006/relationships" r:embed="rId6">
          <a:duotone>
            <a:srgbClr val="5B9BD5">
              <a:shade val="45000"/>
              <a:satMod val="135000"/>
            </a:srgbClr>
            <a:prstClr val="white"/>
          </a:duotone>
        </a:blip>
        <a:stretch>
          <a:fillRect/>
        </a:stretch>
      </xdr:blipFill>
      <xdr:spPr>
        <a:xfrm>
          <a:off x="1768928" y="1732644"/>
          <a:ext cx="598715" cy="625928"/>
        </a:xfrm>
        <a:prstGeom prst="rect">
          <a:avLst/>
        </a:prstGeom>
        <a:pattFill prst="pct5">
          <a:fgClr>
            <a:srgbClr val="000000"/>
          </a:fgClr>
          <a:bgClr>
            <a:srgbClr val="0070C0"/>
          </a:bgClr>
        </a:pattFill>
        <a:ln>
          <a:noFill/>
        </a:ln>
      </xdr:spPr>
    </xdr:pic>
    <xdr:clientData/>
  </xdr:twoCellAnchor>
  <xdr:twoCellAnchor>
    <xdr:from>
      <xdr:col>3</xdr:col>
      <xdr:colOff>517073</xdr:colOff>
      <xdr:row>8</xdr:row>
      <xdr:rowOff>181427</xdr:rowOff>
    </xdr:from>
    <xdr:to>
      <xdr:col>5</xdr:col>
      <xdr:colOff>471715</xdr:colOff>
      <xdr:row>11</xdr:row>
      <xdr:rowOff>36285</xdr:rowOff>
    </xdr:to>
    <xdr:sp macro="" textlink="">
      <xdr:nvSpPr>
        <xdr:cNvPr id="27" name="TextBox 26">
          <a:extLst>
            <a:ext uri="{FF2B5EF4-FFF2-40B4-BE49-F238E27FC236}">
              <a16:creationId xmlns:a16="http://schemas.microsoft.com/office/drawing/2014/main" id="{FADA4B0F-1A07-5169-2519-7BFFD66084D8}"/>
            </a:ext>
          </a:extLst>
        </xdr:cNvPr>
        <xdr:cNvSpPr txBox="1"/>
      </xdr:nvSpPr>
      <xdr:spPr>
        <a:xfrm>
          <a:off x="2340430" y="1632856"/>
          <a:ext cx="1170214" cy="399143"/>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TOTAL</a:t>
          </a:r>
          <a:r>
            <a:rPr lang="en-IN" sz="1400" b="1" baseline="0"/>
            <a:t> SALES</a:t>
          </a:r>
          <a:endParaRPr lang="en-IN" sz="1400" b="1"/>
        </a:p>
      </xdr:txBody>
    </xdr:sp>
    <xdr:clientData/>
  </xdr:twoCellAnchor>
  <xdr:twoCellAnchor>
    <xdr:from>
      <xdr:col>6</xdr:col>
      <xdr:colOff>515257</xdr:colOff>
      <xdr:row>9</xdr:row>
      <xdr:rowOff>7256</xdr:rowOff>
    </xdr:from>
    <xdr:to>
      <xdr:col>8</xdr:col>
      <xdr:colOff>562428</xdr:colOff>
      <xdr:row>11</xdr:row>
      <xdr:rowOff>43542</xdr:rowOff>
    </xdr:to>
    <xdr:sp macro="" textlink="">
      <xdr:nvSpPr>
        <xdr:cNvPr id="28" name="TextBox 27">
          <a:extLst>
            <a:ext uri="{FF2B5EF4-FFF2-40B4-BE49-F238E27FC236}">
              <a16:creationId xmlns:a16="http://schemas.microsoft.com/office/drawing/2014/main" id="{C4D9A282-CD4F-42B3-94F2-9F4FE00B7E27}"/>
            </a:ext>
          </a:extLst>
        </xdr:cNvPr>
        <xdr:cNvSpPr txBox="1"/>
      </xdr:nvSpPr>
      <xdr:spPr>
        <a:xfrm>
          <a:off x="4161971" y="1640113"/>
          <a:ext cx="1262743" cy="399143"/>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TOTAL</a:t>
          </a:r>
          <a:r>
            <a:rPr lang="en-IN" sz="1400" b="1" baseline="0"/>
            <a:t> PROFIT</a:t>
          </a:r>
          <a:endParaRPr lang="en-IN" sz="1400" b="1"/>
        </a:p>
      </xdr:txBody>
    </xdr:sp>
    <xdr:clientData/>
  </xdr:twoCellAnchor>
  <xdr:twoCellAnchor>
    <xdr:from>
      <xdr:col>3</xdr:col>
      <xdr:colOff>517072</xdr:colOff>
      <xdr:row>10</xdr:row>
      <xdr:rowOff>81642</xdr:rowOff>
    </xdr:from>
    <xdr:to>
      <xdr:col>5</xdr:col>
      <xdr:colOff>471714</xdr:colOff>
      <xdr:row>12</xdr:row>
      <xdr:rowOff>117928</xdr:rowOff>
    </xdr:to>
    <xdr:sp macro="" textlink="'PIVOT TABLE '!A11">
      <xdr:nvSpPr>
        <xdr:cNvPr id="29" name="TextBox 28">
          <a:extLst>
            <a:ext uri="{FF2B5EF4-FFF2-40B4-BE49-F238E27FC236}">
              <a16:creationId xmlns:a16="http://schemas.microsoft.com/office/drawing/2014/main" id="{0FAB98D5-24B1-4FBD-A5D7-D6A83B48DC43}"/>
            </a:ext>
          </a:extLst>
        </xdr:cNvPr>
        <xdr:cNvSpPr txBox="1"/>
      </xdr:nvSpPr>
      <xdr:spPr>
        <a:xfrm>
          <a:off x="2340429" y="1895928"/>
          <a:ext cx="1170214" cy="399143"/>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206D0E3-A741-417E-8C1A-743259668787}" type="TxLink">
            <a:rPr lang="en-US" sz="1800" b="1" i="0" u="none" strike="noStrike">
              <a:solidFill>
                <a:srgbClr val="000000"/>
              </a:solidFill>
              <a:latin typeface="Calibri"/>
              <a:cs typeface="Calibri"/>
            </a:rPr>
            <a:pPr/>
            <a:t> $129,426 </a:t>
          </a:fld>
          <a:endParaRPr lang="en-US" sz="1800" b="1"/>
        </a:p>
      </xdr:txBody>
    </xdr:sp>
    <xdr:clientData/>
  </xdr:twoCellAnchor>
  <xdr:twoCellAnchor>
    <xdr:from>
      <xdr:col>6</xdr:col>
      <xdr:colOff>605973</xdr:colOff>
      <xdr:row>10</xdr:row>
      <xdr:rowOff>88898</xdr:rowOff>
    </xdr:from>
    <xdr:to>
      <xdr:col>8</xdr:col>
      <xdr:colOff>560615</xdr:colOff>
      <xdr:row>12</xdr:row>
      <xdr:rowOff>125184</xdr:rowOff>
    </xdr:to>
    <xdr:sp macro="" textlink="'PIVOT TABLE '!A12">
      <xdr:nvSpPr>
        <xdr:cNvPr id="30" name="TextBox 29">
          <a:extLst>
            <a:ext uri="{FF2B5EF4-FFF2-40B4-BE49-F238E27FC236}">
              <a16:creationId xmlns:a16="http://schemas.microsoft.com/office/drawing/2014/main" id="{3A5F80C2-7EA4-4FF6-B858-9E70425074E6}"/>
            </a:ext>
          </a:extLst>
        </xdr:cNvPr>
        <xdr:cNvSpPr txBox="1"/>
      </xdr:nvSpPr>
      <xdr:spPr>
        <a:xfrm>
          <a:off x="4252687" y="1903184"/>
          <a:ext cx="1170214" cy="399143"/>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1BE5B84-3BA9-43D6-B748-80A3CCAB3F17}" type="TxLink">
            <a:rPr lang="en-US" sz="2000" b="1" i="0" u="none" strike="noStrike">
              <a:solidFill>
                <a:srgbClr val="000000"/>
              </a:solidFill>
              <a:latin typeface="Calibri"/>
              <a:cs typeface="Calibri"/>
            </a:rPr>
            <a:pPr/>
            <a:t> $5,364 </a:t>
          </a:fld>
          <a:endParaRPr lang="en-IN" sz="2800" b="1"/>
        </a:p>
      </xdr:txBody>
    </xdr:sp>
    <xdr:clientData/>
  </xdr:twoCellAnchor>
  <xdr:twoCellAnchor>
    <xdr:from>
      <xdr:col>2</xdr:col>
      <xdr:colOff>506186</xdr:colOff>
      <xdr:row>15</xdr:row>
      <xdr:rowOff>27215</xdr:rowOff>
    </xdr:from>
    <xdr:to>
      <xdr:col>9</xdr:col>
      <xdr:colOff>36285</xdr:colOff>
      <xdr:row>25</xdr:row>
      <xdr:rowOff>90715</xdr:rowOff>
    </xdr:to>
    <xdr:graphicFrame macro="">
      <xdr:nvGraphicFramePr>
        <xdr:cNvPr id="31" name="Chart 30">
          <a:extLst>
            <a:ext uri="{FF2B5EF4-FFF2-40B4-BE49-F238E27FC236}">
              <a16:creationId xmlns:a16="http://schemas.microsoft.com/office/drawing/2014/main" id="{70ED97DA-2B89-41CD-9F95-07DFCB45D4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81643</xdr:colOff>
      <xdr:row>8</xdr:row>
      <xdr:rowOff>81642</xdr:rowOff>
    </xdr:from>
    <xdr:to>
      <xdr:col>13</xdr:col>
      <xdr:colOff>571500</xdr:colOff>
      <xdr:row>29</xdr:row>
      <xdr:rowOff>9070</xdr:rowOff>
    </xdr:to>
    <mc:AlternateContent xmlns:mc="http://schemas.openxmlformats.org/markup-compatibility/2006">
      <mc:Choice xmlns:cx2="http://schemas.microsoft.com/office/drawing/2015/10/21/chartex" Requires="cx2">
        <xdr:graphicFrame macro="">
          <xdr:nvGraphicFramePr>
            <xdr:cNvPr id="33" name="Chart 32">
              <a:extLst>
                <a:ext uri="{FF2B5EF4-FFF2-40B4-BE49-F238E27FC236}">
                  <a16:creationId xmlns:a16="http://schemas.microsoft.com/office/drawing/2014/main" id="{84DFFB1B-50A7-4E77-9455-1B6F65FF4BB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5568043" y="1554842"/>
              <a:ext cx="2928257" cy="379457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54429</xdr:colOff>
      <xdr:row>8</xdr:row>
      <xdr:rowOff>27214</xdr:rowOff>
    </xdr:from>
    <xdr:to>
      <xdr:col>19</xdr:col>
      <xdr:colOff>480785</xdr:colOff>
      <xdr:row>18</xdr:row>
      <xdr:rowOff>54428</xdr:rowOff>
    </xdr:to>
    <xdr:graphicFrame macro="">
      <xdr:nvGraphicFramePr>
        <xdr:cNvPr id="34" name="Chart 33">
          <a:extLst>
            <a:ext uri="{FF2B5EF4-FFF2-40B4-BE49-F238E27FC236}">
              <a16:creationId xmlns:a16="http://schemas.microsoft.com/office/drawing/2014/main" id="{6B5C5833-7A7C-4DC5-86ED-33AF993DC0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36286</xdr:colOff>
      <xdr:row>18</xdr:row>
      <xdr:rowOff>127000</xdr:rowOff>
    </xdr:from>
    <xdr:to>
      <xdr:col>19</xdr:col>
      <xdr:colOff>498928</xdr:colOff>
      <xdr:row>29</xdr:row>
      <xdr:rowOff>54428</xdr:rowOff>
    </xdr:to>
    <mc:AlternateContent xmlns:mc="http://schemas.openxmlformats.org/markup-compatibility/2006">
      <mc:Choice xmlns:cx4="http://schemas.microsoft.com/office/drawing/2016/5/10/chartex" Requires="cx4">
        <xdr:graphicFrame macro="">
          <xdr:nvGraphicFramePr>
            <xdr:cNvPr id="35" name="Chart 34">
              <a:extLst>
                <a:ext uri="{FF2B5EF4-FFF2-40B4-BE49-F238E27FC236}">
                  <a16:creationId xmlns:a16="http://schemas.microsoft.com/office/drawing/2014/main" id="{2D5AA280-7AF0-47D1-942A-D62278B4623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8570686" y="3441700"/>
              <a:ext cx="3510642" cy="195307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522517</xdr:colOff>
      <xdr:row>26</xdr:row>
      <xdr:rowOff>36286</xdr:rowOff>
    </xdr:from>
    <xdr:to>
      <xdr:col>9</xdr:col>
      <xdr:colOff>18143</xdr:colOff>
      <xdr:row>39</xdr:row>
      <xdr:rowOff>54429</xdr:rowOff>
    </xdr:to>
    <xdr:graphicFrame macro="">
      <xdr:nvGraphicFramePr>
        <xdr:cNvPr id="36" name="Chart 35">
          <a:extLst>
            <a:ext uri="{FF2B5EF4-FFF2-40B4-BE49-F238E27FC236}">
              <a16:creationId xmlns:a16="http://schemas.microsoft.com/office/drawing/2014/main" id="{AAFB232F-AF82-4E84-B28A-43EC38E9E9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9</xdr:col>
      <xdr:colOff>163286</xdr:colOff>
      <xdr:row>29</xdr:row>
      <xdr:rowOff>90714</xdr:rowOff>
    </xdr:from>
    <xdr:to>
      <xdr:col>19</xdr:col>
      <xdr:colOff>453570</xdr:colOff>
      <xdr:row>39</xdr:row>
      <xdr:rowOff>117928</xdr:rowOff>
    </xdr:to>
    <xdr:graphicFrame macro="">
      <xdr:nvGraphicFramePr>
        <xdr:cNvPr id="37" name="Chart 36">
          <a:extLst>
            <a:ext uri="{FF2B5EF4-FFF2-40B4-BE49-F238E27FC236}">
              <a16:creationId xmlns:a16="http://schemas.microsoft.com/office/drawing/2014/main" id="{95FBA6F6-EF02-4F8A-9E38-B86B4A0ABA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0</xdr:col>
      <xdr:colOff>208017</xdr:colOff>
      <xdr:row>7</xdr:row>
      <xdr:rowOff>164223</xdr:rowOff>
    </xdr:from>
    <xdr:to>
      <xdr:col>2</xdr:col>
      <xdr:colOff>426982</xdr:colOff>
      <xdr:row>14</xdr:row>
      <xdr:rowOff>98535</xdr:rowOff>
    </xdr:to>
    <mc:AlternateContent xmlns:mc="http://schemas.openxmlformats.org/markup-compatibility/2006" xmlns:a14="http://schemas.microsoft.com/office/drawing/2010/main">
      <mc:Choice Requires="a14">
        <xdr:graphicFrame macro="">
          <xdr:nvGraphicFramePr>
            <xdr:cNvPr id="44" name="Category 1">
              <a:extLst>
                <a:ext uri="{FF2B5EF4-FFF2-40B4-BE49-F238E27FC236}">
                  <a16:creationId xmlns:a16="http://schemas.microsoft.com/office/drawing/2014/main" id="{5C42F37A-2305-4229-80F1-01410491DF73}"/>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208017" y="1467068"/>
              <a:ext cx="1445172" cy="12371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238735</xdr:colOff>
      <xdr:row>14</xdr:row>
      <xdr:rowOff>129564</xdr:rowOff>
    </xdr:from>
    <xdr:to>
      <xdr:col>2</xdr:col>
      <xdr:colOff>459828</xdr:colOff>
      <xdr:row>22</xdr:row>
      <xdr:rowOff>109483</xdr:rowOff>
    </xdr:to>
    <mc:AlternateContent xmlns:mc="http://schemas.openxmlformats.org/markup-compatibility/2006" xmlns:a14="http://schemas.microsoft.com/office/drawing/2010/main">
      <mc:Choice Requires="a14">
        <xdr:graphicFrame macro="">
          <xdr:nvGraphicFramePr>
            <xdr:cNvPr id="45" name="Year  1">
              <a:extLst>
                <a:ext uri="{FF2B5EF4-FFF2-40B4-BE49-F238E27FC236}">
                  <a16:creationId xmlns:a16="http://schemas.microsoft.com/office/drawing/2014/main" id="{38D37CAA-08A1-4608-955A-9C7DDDA2BFF7}"/>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238735" y="2735254"/>
              <a:ext cx="1447300" cy="14688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237859</xdr:colOff>
      <xdr:row>22</xdr:row>
      <xdr:rowOff>120432</xdr:rowOff>
    </xdr:from>
    <xdr:to>
      <xdr:col>2</xdr:col>
      <xdr:colOff>481724</xdr:colOff>
      <xdr:row>39</xdr:row>
      <xdr:rowOff>109484</xdr:rowOff>
    </xdr:to>
    <mc:AlternateContent xmlns:mc="http://schemas.openxmlformats.org/markup-compatibility/2006" xmlns:a14="http://schemas.microsoft.com/office/drawing/2010/main">
      <mc:Choice Requires="a14">
        <xdr:graphicFrame macro="">
          <xdr:nvGraphicFramePr>
            <xdr:cNvPr id="46" name="Month 1">
              <a:extLst>
                <a:ext uri="{FF2B5EF4-FFF2-40B4-BE49-F238E27FC236}">
                  <a16:creationId xmlns:a16="http://schemas.microsoft.com/office/drawing/2014/main" id="{7125B0AD-6057-4202-9F16-9DAB17A8104C}"/>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237859" y="4215087"/>
              <a:ext cx="1470072" cy="31531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969.557342939814" createdVersion="8" refreshedVersion="8" minRefreshableVersion="3" recordCount="222" xr:uid="{39C96119-185C-4D7F-A038-556528CF30BA}">
  <cacheSource type="worksheet">
    <worksheetSource ref="Q1:R223" sheet="PIVOT TABLE "/>
  </cacheSource>
  <cacheFields count="2">
    <cacheField name="Customer Name" numFmtId="0">
      <sharedItems/>
    </cacheField>
    <cacheField name="Year " numFmtId="1">
      <sharedItems containsSemiMixedTypes="0" containsString="0" containsNumber="1" containsInteger="1" minValue="2014" maxValue="2017" count="4">
        <n v="2016"/>
        <n v="2015"/>
        <n v="2014"/>
        <n v="2017"/>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969.580916782405" createdVersion="8" refreshedVersion="8" minRefreshableVersion="3" recordCount="500" xr:uid="{E9CEE556-4607-4493-AEE9-2E92F35B620C}">
  <cacheSource type="worksheet">
    <worksheetSource name="Table1"/>
  </cacheSource>
  <cacheFields count="23">
    <cacheField name="Row ID" numFmtId="0">
      <sharedItems containsSemiMixedTypes="0" containsString="0" containsNumber="1" containsInteger="1" minValue="1" maxValue="500"/>
    </cacheField>
    <cacheField name="Order ID" numFmtId="0">
      <sharedItems/>
    </cacheField>
    <cacheField name="Order Date" numFmtId="14">
      <sharedItems containsSemiMixedTypes="0" containsNonDate="0" containsDate="1" containsString="0" minDate="2014-02-12T00:00:00" maxDate="2017-12-29T00:00:00"/>
    </cacheField>
    <cacheField name="Ship Date" numFmtId="14">
      <sharedItems containsSemiMixedTypes="0" containsNonDate="0" containsDate="1" containsString="0" minDate="2014-02-18T00:00:00" maxDate="2018-01-03T00:00:00"/>
    </cacheField>
    <cacheField name="Month" numFmtId="14">
      <sharedItems count="12">
        <s v="Nov"/>
        <s v="Jun"/>
        <s v="Oct"/>
        <s v="Apr"/>
        <s v="Dec"/>
        <s v="May"/>
        <s v="Aug"/>
        <s v="Jul"/>
        <s v="Sep"/>
        <s v="Jan"/>
        <s v="Mar"/>
        <s v="Feb"/>
      </sharedItems>
    </cacheField>
    <cacheField name="Year " numFmtId="1">
      <sharedItems containsSemiMixedTypes="0" containsString="0" containsNumber="1" containsInteger="1" minValue="2014" maxValue="2017" count="4">
        <n v="2016"/>
        <n v="2015"/>
        <n v="2014"/>
        <n v="2017"/>
      </sharedItems>
    </cacheField>
    <cacheField name="Ship Mode" numFmtId="0">
      <sharedItems/>
    </cacheField>
    <cacheField name="Customer ID" numFmtId="0">
      <sharedItems/>
    </cacheField>
    <cacheField name="Customer Name" numFmtId="0">
      <sharedItems count="199">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haredItems>
    </cacheField>
    <cacheField name="Segment" numFmtId="0">
      <sharedItems/>
    </cacheField>
    <cacheField name="Country" numFmtId="0">
      <sharedItems/>
    </cacheField>
    <cacheField name="City" numFmtId="0">
      <sharedItems/>
    </cacheField>
    <cacheField name="State" numFmtId="0">
      <sharedItems count="37">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haredItems>
    </cacheField>
    <cacheField name="Postal Code" numFmtId="0">
      <sharedItems containsSemiMixedTypes="0" containsString="0" containsNumber="1" containsInteger="1" minValue="1841" maxValue="98198"/>
    </cacheField>
    <cacheField name="Region" numFmtId="0">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1.248" maxValue="8159.9520000000002"/>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1665.0522000000001" maxValue="1995.99"/>
    </cacheField>
  </cacheFields>
  <extLst>
    <ext xmlns:x14="http://schemas.microsoft.com/office/spreadsheetml/2009/9/main" uri="{725AE2AE-9491-48be-B2B4-4EB974FC3084}">
      <x14:pivotCacheDefinition pivotCacheId="19572002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2">
  <r>
    <s v="Claire Gute"/>
    <x v="0"/>
  </r>
  <r>
    <s v="Darrin Van Huff"/>
    <x v="0"/>
  </r>
  <r>
    <s v="Sean O'Donnell"/>
    <x v="0"/>
  </r>
  <r>
    <s v="Brosina Hoffman"/>
    <x v="1"/>
  </r>
  <r>
    <s v="Andrew Allen"/>
    <x v="1"/>
  </r>
  <r>
    <s v="Irene Maddox"/>
    <x v="2"/>
  </r>
  <r>
    <s v="Harold Pawlan"/>
    <x v="2"/>
  </r>
  <r>
    <s v="Pete Kriz"/>
    <x v="2"/>
  </r>
  <r>
    <s v="Alejandro Grove"/>
    <x v="2"/>
  </r>
  <r>
    <s v="Zuschuss Donatelli"/>
    <x v="2"/>
  </r>
  <r>
    <s v="Ken Black"/>
    <x v="2"/>
  </r>
  <r>
    <s v="Sandra Flanagan"/>
    <x v="2"/>
  </r>
  <r>
    <s v="Emily Burns"/>
    <x v="3"/>
  </r>
  <r>
    <s v="Eric Hoffmann"/>
    <x v="0"/>
  </r>
  <r>
    <s v="Tracy Blumstein"/>
    <x v="1"/>
  </r>
  <r>
    <s v="Matt Abelman"/>
    <x v="1"/>
  </r>
  <r>
    <s v="Gene Hale"/>
    <x v="2"/>
  </r>
  <r>
    <s v="Steve Nguyen"/>
    <x v="2"/>
  </r>
  <r>
    <s v="Linda Cazamias"/>
    <x v="2"/>
  </r>
  <r>
    <s v="Ruben Ausman"/>
    <x v="2"/>
  </r>
  <r>
    <s v="Erin Smith"/>
    <x v="2"/>
  </r>
  <r>
    <s v="Odella Nelson"/>
    <x v="0"/>
  </r>
  <r>
    <s v="Patrick O'Donnell"/>
    <x v="0"/>
  </r>
  <r>
    <s v="Lena Hernandez"/>
    <x v="3"/>
  </r>
  <r>
    <s v="Darren Powers"/>
    <x v="1"/>
  </r>
  <r>
    <s v="Janet Molinari"/>
    <x v="0"/>
  </r>
  <r>
    <s v="Ted Butterfield"/>
    <x v="0"/>
  </r>
  <r>
    <s v="Kunst Miller"/>
    <x v="1"/>
  </r>
  <r>
    <s v="Paul Stevenson"/>
    <x v="1"/>
  </r>
  <r>
    <s v="Brendan Sweed"/>
    <x v="1"/>
  </r>
  <r>
    <s v="Karen Daniels"/>
    <x v="1"/>
  </r>
  <r>
    <s v="Henry MacAllister"/>
    <x v="1"/>
  </r>
  <r>
    <s v="Tracy Blumstein"/>
    <x v="1"/>
  </r>
  <r>
    <s v="Joel Eaton"/>
    <x v="1"/>
  </r>
  <r>
    <s v="Ken Brennan"/>
    <x v="3"/>
  </r>
  <r>
    <s v="Joel Eaton"/>
    <x v="0"/>
  </r>
  <r>
    <s v="Stewart Carmichael"/>
    <x v="0"/>
  </r>
  <r>
    <s v="Duane Noonan"/>
    <x v="1"/>
  </r>
  <r>
    <s v="Julie Creighton"/>
    <x v="1"/>
  </r>
  <r>
    <s v="Christopher Schild"/>
    <x v="1"/>
  </r>
  <r>
    <s v="Patrick O'Donnell"/>
    <x v="1"/>
  </r>
  <r>
    <s v="Paul Gonzalez"/>
    <x v="3"/>
  </r>
  <r>
    <s v="Gary Mitchum"/>
    <x v="0"/>
  </r>
  <r>
    <s v="Jim Sink"/>
    <x v="3"/>
  </r>
  <r>
    <s v="Karl Braun"/>
    <x v="0"/>
  </r>
  <r>
    <s v="Roger Barcio"/>
    <x v="0"/>
  </r>
  <r>
    <s v="Parhena Norris"/>
    <x v="2"/>
  </r>
  <r>
    <s v="Katherine Ducich"/>
    <x v="0"/>
  </r>
  <r>
    <s v="Elpida Rittenbach"/>
    <x v="0"/>
  </r>
  <r>
    <s v="Rick Bensley"/>
    <x v="1"/>
  </r>
  <r>
    <s v="Gary Zandusky"/>
    <x v="1"/>
  </r>
  <r>
    <s v="Lena Cacioppo"/>
    <x v="1"/>
  </r>
  <r>
    <s v="Janet Martin"/>
    <x v="1"/>
  </r>
  <r>
    <s v="Pete Armstrong"/>
    <x v="0"/>
  </r>
  <r>
    <s v="Cynthia Voltz"/>
    <x v="0"/>
  </r>
  <r>
    <s v="Clay Ludtke"/>
    <x v="0"/>
  </r>
  <r>
    <s v="Ryan Crowe"/>
    <x v="0"/>
  </r>
  <r>
    <s v="Dave Kipp"/>
    <x v="0"/>
  </r>
  <r>
    <s v="Greg Guthrie"/>
    <x v="0"/>
  </r>
  <r>
    <s v="Steven Cartwright"/>
    <x v="0"/>
  </r>
  <r>
    <s v="Alan Dominguez"/>
    <x v="0"/>
  </r>
  <r>
    <s v="Philip Fox"/>
    <x v="0"/>
  </r>
  <r>
    <s v="Troy Staebel"/>
    <x v="1"/>
  </r>
  <r>
    <s v="Lindsay Shagiari"/>
    <x v="1"/>
  </r>
  <r>
    <s v="Dorothy Wardle"/>
    <x v="1"/>
  </r>
  <r>
    <s v="Lena Creighton"/>
    <x v="1"/>
  </r>
  <r>
    <s v="Jonathan Doherty"/>
    <x v="1"/>
  </r>
  <r>
    <s v="Sally Hughsby"/>
    <x v="2"/>
  </r>
  <r>
    <s v="Sandra Glassco"/>
    <x v="2"/>
  </r>
  <r>
    <s v="Helen Andreada"/>
    <x v="0"/>
  </r>
  <r>
    <s v="Maureen Gastineau"/>
    <x v="0"/>
  </r>
  <r>
    <s v="Justin Ellison"/>
    <x v="3"/>
  </r>
  <r>
    <s v="Tamara Willingham"/>
    <x v="1"/>
  </r>
  <r>
    <s v="Stephanie Phelps"/>
    <x v="1"/>
  </r>
  <r>
    <s v="Neil Knudson"/>
    <x v="1"/>
  </r>
  <r>
    <s v="Dave Brooks"/>
    <x v="3"/>
  </r>
  <r>
    <s v="Nora Paige"/>
    <x v="3"/>
  </r>
  <r>
    <s v="Ted Trevino"/>
    <x v="3"/>
  </r>
  <r>
    <s v="Eric Murdock"/>
    <x v="2"/>
  </r>
  <r>
    <s v="Ruben Dartt"/>
    <x v="0"/>
  </r>
  <r>
    <s v="Max Jones"/>
    <x v="0"/>
  </r>
  <r>
    <s v="Becky Martin"/>
    <x v="2"/>
  </r>
  <r>
    <s v="Chad Sievert"/>
    <x v="2"/>
  </r>
  <r>
    <s v="Jennifer Braxton"/>
    <x v="1"/>
  </r>
  <r>
    <s v="Shirley Jackson"/>
    <x v="3"/>
  </r>
  <r>
    <s v="Jim Kriz"/>
    <x v="3"/>
  </r>
  <r>
    <s v="David Kendrick"/>
    <x v="3"/>
  </r>
  <r>
    <s v="Robert Marley"/>
    <x v="3"/>
  </r>
  <r>
    <s v="Sally Knutson"/>
    <x v="0"/>
  </r>
  <r>
    <s v="Frank Merwin"/>
    <x v="0"/>
  </r>
  <r>
    <s v="Alice McCarthy"/>
    <x v="0"/>
  </r>
  <r>
    <s v="Mark Packer"/>
    <x v="0"/>
  </r>
  <r>
    <s v="Mary Zewe"/>
    <x v="1"/>
  </r>
  <r>
    <s v="Cassandra Brandow"/>
    <x v="1"/>
  </r>
  <r>
    <s v="Valerie Mitchum"/>
    <x v="1"/>
  </r>
  <r>
    <s v="Fred Hopkins"/>
    <x v="3"/>
  </r>
  <r>
    <s v="Maria Bertelson"/>
    <x v="3"/>
  </r>
  <r>
    <s v="Bruce Stewart"/>
    <x v="3"/>
  </r>
  <r>
    <s v="Logan Currie"/>
    <x v="0"/>
  </r>
  <r>
    <s v="Heather Kirkland"/>
    <x v="0"/>
  </r>
  <r>
    <s v="Laurel Elliston"/>
    <x v="0"/>
  </r>
  <r>
    <s v="Joseph Holt"/>
    <x v="0"/>
  </r>
  <r>
    <s v="Michael Stewart"/>
    <x v="0"/>
  </r>
  <r>
    <s v="Victoria Wilson"/>
    <x v="1"/>
  </r>
  <r>
    <s v="Jonathan Howell"/>
    <x v="1"/>
  </r>
  <r>
    <s v="Joni Blumstein"/>
    <x v="1"/>
  </r>
  <r>
    <s v="David Smith"/>
    <x v="3"/>
  </r>
  <r>
    <s v="Valerie Dominguez"/>
    <x v="3"/>
  </r>
  <r>
    <s v="Erin Ashbrook"/>
    <x v="3"/>
  </r>
  <r>
    <s v="David Bremer"/>
    <x v="1"/>
  </r>
  <r>
    <s v="Ken Lonsdale"/>
    <x v="3"/>
  </r>
  <r>
    <s v="Dianna Wilson"/>
    <x v="0"/>
  </r>
  <r>
    <s v="Logan Haushalter"/>
    <x v="0"/>
  </r>
  <r>
    <s v="Kelly Collister"/>
    <x v="2"/>
  </r>
  <r>
    <s v="Delfina Latchford"/>
    <x v="2"/>
  </r>
  <r>
    <s v="Dan Reichenbach"/>
    <x v="2"/>
  </r>
  <r>
    <s v="Craig Carreira"/>
    <x v="2"/>
  </r>
  <r>
    <s v="Dorris liebe"/>
    <x v="1"/>
  </r>
  <r>
    <s v="Sean Braxton"/>
    <x v="1"/>
  </r>
  <r>
    <s v="Roy Collins"/>
    <x v="0"/>
  </r>
  <r>
    <s v="Alan Hwang"/>
    <x v="0"/>
  </r>
  <r>
    <s v="Claudia Bergmann"/>
    <x v="0"/>
  </r>
  <r>
    <s v="Paul Gonzalez"/>
    <x v="0"/>
  </r>
  <r>
    <s v="Christine Abelman"/>
    <x v="0"/>
  </r>
  <r>
    <s v="Kristen Hastings"/>
    <x v="2"/>
  </r>
  <r>
    <s v="Barry Blumstein"/>
    <x v="2"/>
  </r>
  <r>
    <s v="Andrew Gjertsen"/>
    <x v="3"/>
  </r>
  <r>
    <s v="Steven Cartwright"/>
    <x v="3"/>
  </r>
  <r>
    <s v="Jas O'Carroll"/>
    <x v="0"/>
  </r>
  <r>
    <s v="Alan Haines"/>
    <x v="0"/>
  </r>
  <r>
    <s v="Nick Zandusky"/>
    <x v="3"/>
  </r>
  <r>
    <s v="Kelly Lampkin"/>
    <x v="3"/>
  </r>
  <r>
    <s v="Jonathan Howell"/>
    <x v="3"/>
  </r>
  <r>
    <s v="Alan Schoenberger"/>
    <x v="0"/>
  </r>
  <r>
    <s v="Ken Brennan"/>
    <x v="0"/>
  </r>
  <r>
    <s v="Corey Roper"/>
    <x v="0"/>
  </r>
  <r>
    <s v="Shahid Hopkins"/>
    <x v="0"/>
  </r>
  <r>
    <s v="Ben Peterman"/>
    <x v="0"/>
  </r>
  <r>
    <s v="Thomas Seio"/>
    <x v="0"/>
  </r>
  <r>
    <s v="Andy Gerbode"/>
    <x v="0"/>
  </r>
  <r>
    <s v="Sung Pak"/>
    <x v="0"/>
  </r>
  <r>
    <s v="Nathan Mautz"/>
    <x v="3"/>
  </r>
  <r>
    <s v="Frank Atkinson"/>
    <x v="3"/>
  </r>
  <r>
    <s v="Grace Kelly"/>
    <x v="3"/>
  </r>
  <r>
    <s v="Don Jones"/>
    <x v="3"/>
  </r>
  <r>
    <s v="Patrick O'Brill"/>
    <x v="1"/>
  </r>
  <r>
    <s v="John Lucas"/>
    <x v="2"/>
  </r>
  <r>
    <s v="Doug Bickford"/>
    <x v="0"/>
  </r>
  <r>
    <s v="Alyssa Crouse"/>
    <x v="0"/>
  </r>
  <r>
    <s v="Ken Lonsdale"/>
    <x v="0"/>
  </r>
  <r>
    <s v="Jonathan Doherty"/>
    <x v="0"/>
  </r>
  <r>
    <s v="Chad Sievert"/>
    <x v="0"/>
  </r>
  <r>
    <s v="Clay Cheatham"/>
    <x v="0"/>
  </r>
  <r>
    <s v="Tamara Dahlen"/>
    <x v="1"/>
  </r>
  <r>
    <s v="Adam Bellavance"/>
    <x v="1"/>
  </r>
  <r>
    <s v="Jeremy Lonsdale"/>
    <x v="1"/>
  </r>
  <r>
    <s v="Heather Kirkland"/>
    <x v="1"/>
  </r>
  <r>
    <s v="Victoria Brennan"/>
    <x v="2"/>
  </r>
  <r>
    <s v="Katrina Willman"/>
    <x v="0"/>
  </r>
  <r>
    <s v="Julia Dunbar"/>
    <x v="0"/>
  </r>
  <r>
    <s v="Michael Kennedy"/>
    <x v="0"/>
  </r>
  <r>
    <s v="Guy Thornton"/>
    <x v="1"/>
  </r>
  <r>
    <s v="Arthur Gainer"/>
    <x v="0"/>
  </r>
  <r>
    <s v="Muhammed MacIntyre"/>
    <x v="0"/>
  </r>
  <r>
    <s v="Allen Rosenblatt"/>
    <x v="2"/>
  </r>
  <r>
    <s v="Russell Applegate"/>
    <x v="2"/>
  </r>
  <r>
    <s v="Alejandro Savely"/>
    <x v="2"/>
  </r>
  <r>
    <s v="Laura Armstrong"/>
    <x v="2"/>
  </r>
  <r>
    <s v="Denny Ordway"/>
    <x v="2"/>
  </r>
  <r>
    <s v="Dean Katz"/>
    <x v="2"/>
  </r>
  <r>
    <s v="Nathan Gelder"/>
    <x v="2"/>
  </r>
  <r>
    <s v="Mike Vittorini"/>
    <x v="2"/>
  </r>
  <r>
    <s v="Jack Garza"/>
    <x v="2"/>
  </r>
  <r>
    <s v="Bart Pistole"/>
    <x v="2"/>
  </r>
  <r>
    <s v="Victor Preis"/>
    <x v="2"/>
  </r>
  <r>
    <s v="Saphhira Shifley"/>
    <x v="2"/>
  </r>
  <r>
    <s v="Anna Gayman"/>
    <x v="3"/>
  </r>
  <r>
    <s v="Luke Foster"/>
    <x v="1"/>
  </r>
  <r>
    <s v="Stephanie Phelps"/>
    <x v="1"/>
  </r>
  <r>
    <s v="Roy Französisch"/>
    <x v="1"/>
  </r>
  <r>
    <s v="Keith Herrera"/>
    <x v="2"/>
  </r>
  <r>
    <s v="Kimberly Carter"/>
    <x v="2"/>
  </r>
  <r>
    <s v="Caroline Jumper"/>
    <x v="2"/>
  </r>
  <r>
    <s v="Philip Brown"/>
    <x v="2"/>
  </r>
  <r>
    <s v="Sung Pak"/>
    <x v="2"/>
  </r>
  <r>
    <s v="Michael Paige"/>
    <x v="0"/>
  </r>
  <r>
    <s v="Natalie Fritzler"/>
    <x v="2"/>
  </r>
  <r>
    <s v="Janet Molinari"/>
    <x v="0"/>
  </r>
  <r>
    <s v="Shirley Daniels"/>
    <x v="0"/>
  </r>
  <r>
    <s v="Ken Heidel"/>
    <x v="1"/>
  </r>
  <r>
    <s v="Ross Baird"/>
    <x v="1"/>
  </r>
  <r>
    <s v="Dave Brooks"/>
    <x v="1"/>
  </r>
  <r>
    <s v="Mike Kennedy"/>
    <x v="1"/>
  </r>
  <r>
    <s v="Philisse Overcash"/>
    <x v="1"/>
  </r>
  <r>
    <s v="Brenda Bowman"/>
    <x v="1"/>
  </r>
  <r>
    <s v="Pete Kriz"/>
    <x v="2"/>
  </r>
  <r>
    <s v="Troy Blackwell"/>
    <x v="2"/>
  </r>
  <r>
    <s v="Raymond Buch"/>
    <x v="3"/>
  </r>
  <r>
    <s v="Ed Braxton"/>
    <x v="3"/>
  </r>
  <r>
    <s v="Ken Heidel"/>
    <x v="3"/>
  </r>
  <r>
    <s v="Sanjit Chand"/>
    <x v="3"/>
  </r>
  <r>
    <s v="Natalie Fritzler"/>
    <x v="2"/>
  </r>
  <r>
    <s v="Joseph Holt"/>
    <x v="2"/>
  </r>
  <r>
    <s v="Tanja Norvell"/>
    <x v="3"/>
  </r>
  <r>
    <s v="Joni Sundaresam"/>
    <x v="3"/>
  </r>
  <r>
    <s v="David Smith"/>
    <x v="3"/>
  </r>
  <r>
    <s v="Craig Carreira"/>
    <x v="3"/>
  </r>
  <r>
    <s v="Maya Herman"/>
    <x v="3"/>
  </r>
  <r>
    <s v="Jeremy Pistek"/>
    <x v="3"/>
  </r>
  <r>
    <s v="Kristen Hastings"/>
    <x v="3"/>
  </r>
  <r>
    <s v="Jeremy Ellison"/>
    <x v="3"/>
  </r>
  <r>
    <s v="John Grady"/>
    <x v="1"/>
  </r>
  <r>
    <s v="Xylona Preis"/>
    <x v="1"/>
  </r>
  <r>
    <s v="Erin Mull"/>
    <x v="1"/>
  </r>
  <r>
    <s v="Michelle Tran"/>
    <x v="1"/>
  </r>
  <r>
    <s v="Sue Ann Reed"/>
    <x v="1"/>
  </r>
  <r>
    <s v="Carl Weiss"/>
    <x v="1"/>
  </r>
  <r>
    <s v="Astrea Jones"/>
    <x v="0"/>
  </r>
  <r>
    <s v="Sonia Sunley"/>
    <x v="0"/>
  </r>
  <r>
    <s v="Rose O'Brian"/>
    <x v="1"/>
  </r>
  <r>
    <s v="Maribeth Dona"/>
    <x v="1"/>
  </r>
  <r>
    <s v="Sanjit Chand"/>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n v="1"/>
    <s v="CA-2016-152156"/>
    <d v="2016-11-08T00:00:00"/>
    <d v="2016-11-11T00:00:00"/>
    <x v="0"/>
    <x v="0"/>
    <s v="Second Class"/>
    <s v="CG-12520"/>
    <x v="0"/>
    <s v="Consumer"/>
    <s v="United States"/>
    <s v="Henderson"/>
    <x v="0"/>
    <n v="42420"/>
    <s v="South"/>
    <s v="FUR-BO-10001798"/>
    <x v="0"/>
    <x v="0"/>
    <s v="Bush Somerset Collection Bookcase"/>
    <n v="261.95999999999998"/>
    <n v="2"/>
    <n v="0"/>
    <n v="41.913600000000002"/>
  </r>
  <r>
    <n v="2"/>
    <s v="CA-2016-152156"/>
    <d v="2016-11-08T00:00:00"/>
    <d v="2016-11-11T00:00:00"/>
    <x v="0"/>
    <x v="0"/>
    <s v="Second Class"/>
    <s v="CG-12520"/>
    <x v="0"/>
    <s v="Consumer"/>
    <s v="United States"/>
    <s v="Henderson"/>
    <x v="0"/>
    <n v="42420"/>
    <s v="South"/>
    <s v="FUR-CH-10000454"/>
    <x v="0"/>
    <x v="1"/>
    <s v="Hon Deluxe Fabric Upholstered Stacking Chairs, Rounded Back"/>
    <n v="731.94"/>
    <n v="3"/>
    <n v="0"/>
    <n v="219.58199999999999"/>
  </r>
  <r>
    <n v="3"/>
    <s v="CA-2016-138688"/>
    <d v="2016-06-12T00:00:00"/>
    <d v="2016-06-16T00:00:00"/>
    <x v="1"/>
    <x v="0"/>
    <s v="Second Class"/>
    <s v="DV-13045"/>
    <x v="1"/>
    <s v="Corporate"/>
    <s v="United States"/>
    <s v="Los Angeles"/>
    <x v="1"/>
    <n v="90036"/>
    <s v="West"/>
    <s v="OFF-LA-10000240"/>
    <x v="1"/>
    <x v="2"/>
    <s v="Self-Adhesive Address Labels for Typewriters by Universal"/>
    <n v="14.62"/>
    <n v="2"/>
    <n v="0"/>
    <n v="6.8714000000000004"/>
  </r>
  <r>
    <n v="4"/>
    <s v="US-2015-108966"/>
    <d v="2015-10-11T00:00:00"/>
    <d v="2015-10-18T00:00:00"/>
    <x v="2"/>
    <x v="1"/>
    <s v="Standard Class"/>
    <s v="SO-20335"/>
    <x v="2"/>
    <s v="Consumer"/>
    <s v="United States"/>
    <s v="Fort Lauderdale"/>
    <x v="2"/>
    <n v="33311"/>
    <s v="South"/>
    <s v="FUR-TA-10000577"/>
    <x v="0"/>
    <x v="3"/>
    <s v="Bretford CR4500 Series Slim Rectangular Table"/>
    <n v="957.57749999999999"/>
    <n v="5"/>
    <n v="0.45"/>
    <n v="-383.03100000000001"/>
  </r>
  <r>
    <n v="5"/>
    <s v="US-2015-108966"/>
    <d v="2015-10-11T00:00:00"/>
    <d v="2015-10-18T00:00:00"/>
    <x v="2"/>
    <x v="1"/>
    <s v="Standard Class"/>
    <s v="SO-20335"/>
    <x v="2"/>
    <s v="Consumer"/>
    <s v="United States"/>
    <s v="Fort Lauderdale"/>
    <x v="2"/>
    <n v="33311"/>
    <s v="South"/>
    <s v="OFF-ST-10000760"/>
    <x v="1"/>
    <x v="4"/>
    <s v="Eldon Fold 'N Roll Cart System"/>
    <n v="22.367999999999999"/>
    <n v="2"/>
    <n v="0.2"/>
    <n v="2.5164"/>
  </r>
  <r>
    <n v="6"/>
    <s v="CA-2014-115812"/>
    <d v="2014-06-09T00:00:00"/>
    <d v="2014-06-14T00:00:00"/>
    <x v="1"/>
    <x v="2"/>
    <s v="Standard Class"/>
    <s v="BH-11710"/>
    <x v="3"/>
    <s v="Consumer"/>
    <s v="United States"/>
    <s v="Los Angeles"/>
    <x v="1"/>
    <n v="90032"/>
    <s v="West"/>
    <s v="FUR-FU-10001487"/>
    <x v="0"/>
    <x v="5"/>
    <s v="Eldon Expressions Wood and Plastic Desk Accessories, Cherry Wood"/>
    <n v="48.86"/>
    <n v="7"/>
    <n v="0"/>
    <n v="14.1694"/>
  </r>
  <r>
    <n v="7"/>
    <s v="CA-2014-115812"/>
    <d v="2014-06-09T00:00:00"/>
    <d v="2014-06-14T00:00:00"/>
    <x v="1"/>
    <x v="2"/>
    <s v="Standard Class"/>
    <s v="BH-11710"/>
    <x v="3"/>
    <s v="Consumer"/>
    <s v="United States"/>
    <s v="Los Angeles"/>
    <x v="1"/>
    <n v="90032"/>
    <s v="West"/>
    <s v="OFF-AR-10002833"/>
    <x v="1"/>
    <x v="6"/>
    <s v="Newell 322"/>
    <n v="7.28"/>
    <n v="4"/>
    <n v="0"/>
    <n v="1.9656"/>
  </r>
  <r>
    <n v="8"/>
    <s v="CA-2014-115812"/>
    <d v="2014-06-09T00:00:00"/>
    <d v="2014-06-14T00:00:00"/>
    <x v="1"/>
    <x v="2"/>
    <s v="Standard Class"/>
    <s v="BH-11710"/>
    <x v="3"/>
    <s v="Consumer"/>
    <s v="United States"/>
    <s v="Los Angeles"/>
    <x v="1"/>
    <n v="90032"/>
    <s v="West"/>
    <s v="TEC-PH-10002275"/>
    <x v="2"/>
    <x v="7"/>
    <s v="Mitel 5320 IP Phone VoIP phone"/>
    <n v="907.15200000000004"/>
    <n v="6"/>
    <n v="0.2"/>
    <n v="90.715199999999996"/>
  </r>
  <r>
    <n v="9"/>
    <s v="CA-2014-115812"/>
    <d v="2014-06-09T00:00:00"/>
    <d v="2014-06-14T00:00:00"/>
    <x v="1"/>
    <x v="2"/>
    <s v="Standard Class"/>
    <s v="BH-11710"/>
    <x v="3"/>
    <s v="Consumer"/>
    <s v="United States"/>
    <s v="Los Angeles"/>
    <x v="1"/>
    <n v="90032"/>
    <s v="West"/>
    <s v="OFF-BI-10003910"/>
    <x v="1"/>
    <x v="8"/>
    <s v="DXL Angle-View Binders with Locking Rings by Samsill"/>
    <n v="18.504000000000001"/>
    <n v="3"/>
    <n v="0.2"/>
    <n v="5.7824999999999998"/>
  </r>
  <r>
    <n v="10"/>
    <s v="CA-2014-115812"/>
    <d v="2014-06-09T00:00:00"/>
    <d v="2014-06-14T00:00:00"/>
    <x v="1"/>
    <x v="2"/>
    <s v="Standard Class"/>
    <s v="BH-11710"/>
    <x v="3"/>
    <s v="Consumer"/>
    <s v="United States"/>
    <s v="Los Angeles"/>
    <x v="1"/>
    <n v="90032"/>
    <s v="West"/>
    <s v="OFF-AP-10002892"/>
    <x v="1"/>
    <x v="9"/>
    <s v="Belkin F5C206VTEL 6 Outlet Surge"/>
    <n v="114.9"/>
    <n v="5"/>
    <n v="0"/>
    <n v="34.47"/>
  </r>
  <r>
    <n v="11"/>
    <s v="CA-2014-115812"/>
    <d v="2014-06-09T00:00:00"/>
    <d v="2014-06-14T00:00:00"/>
    <x v="1"/>
    <x v="2"/>
    <s v="Standard Class"/>
    <s v="BH-11710"/>
    <x v="3"/>
    <s v="Consumer"/>
    <s v="United States"/>
    <s v="Los Angeles"/>
    <x v="1"/>
    <n v="90032"/>
    <s v="West"/>
    <s v="FUR-TA-10001539"/>
    <x v="0"/>
    <x v="3"/>
    <s v="Chromcraft Rectangular Conference Tables"/>
    <n v="1706.184"/>
    <n v="9"/>
    <n v="0.2"/>
    <n v="85.309200000000004"/>
  </r>
  <r>
    <n v="12"/>
    <s v="CA-2014-115812"/>
    <d v="2014-06-09T00:00:00"/>
    <d v="2014-06-14T00:00:00"/>
    <x v="1"/>
    <x v="2"/>
    <s v="Standard Class"/>
    <s v="BH-11710"/>
    <x v="3"/>
    <s v="Consumer"/>
    <s v="United States"/>
    <s v="Los Angeles"/>
    <x v="1"/>
    <n v="90032"/>
    <s v="West"/>
    <s v="TEC-PH-10002033"/>
    <x v="2"/>
    <x v="7"/>
    <s v="Konftel 250 Conference phone - Charcoal black"/>
    <n v="911.42399999999998"/>
    <n v="4"/>
    <n v="0.2"/>
    <n v="68.356800000000007"/>
  </r>
  <r>
    <n v="13"/>
    <s v="CA-2017-114412"/>
    <d v="2017-04-15T00:00:00"/>
    <d v="2017-04-20T00:00:00"/>
    <x v="3"/>
    <x v="3"/>
    <s v="Standard Class"/>
    <s v="AA-10480"/>
    <x v="4"/>
    <s v="Consumer"/>
    <s v="United States"/>
    <s v="Concord"/>
    <x v="3"/>
    <n v="28027"/>
    <s v="South"/>
    <s v="OFF-PA-10002365"/>
    <x v="1"/>
    <x v="10"/>
    <s v="Xerox 1967"/>
    <n v="15.552"/>
    <n v="3"/>
    <n v="0.2"/>
    <n v="5.4432"/>
  </r>
  <r>
    <n v="14"/>
    <s v="CA-2016-161389"/>
    <d v="2016-12-05T00:00:00"/>
    <d v="2016-12-10T00:00:00"/>
    <x v="4"/>
    <x v="0"/>
    <s v="Standard Class"/>
    <s v="IM-15070"/>
    <x v="5"/>
    <s v="Consumer"/>
    <s v="United States"/>
    <s v="Seattle"/>
    <x v="4"/>
    <n v="98103"/>
    <s v="West"/>
    <s v="OFF-BI-10003656"/>
    <x v="1"/>
    <x v="8"/>
    <s v="Fellowes PB200 Plastic Comb Binding Machine"/>
    <n v="407.976"/>
    <n v="3"/>
    <n v="0.2"/>
    <n v="132.59219999999999"/>
  </r>
  <r>
    <n v="15"/>
    <s v="US-2015-118983"/>
    <d v="2015-11-22T00:00:00"/>
    <d v="2015-11-26T00:00:00"/>
    <x v="0"/>
    <x v="1"/>
    <s v="Standard Class"/>
    <s v="HP-14815"/>
    <x v="6"/>
    <s v="Home Office"/>
    <s v="United States"/>
    <s v="Fort Worth"/>
    <x v="5"/>
    <n v="76106"/>
    <s v="Central"/>
    <s v="OFF-AP-10002311"/>
    <x v="1"/>
    <x v="9"/>
    <s v="Holmes Replacement Filter for HEPA Air Cleaner, Very Large Room, HEPA Filter"/>
    <n v="68.81"/>
    <n v="5"/>
    <n v="0.8"/>
    <n v="-123.858"/>
  </r>
  <r>
    <n v="16"/>
    <s v="US-2015-118983"/>
    <d v="2015-11-22T00:00:00"/>
    <d v="2015-11-26T00:00:00"/>
    <x v="0"/>
    <x v="1"/>
    <s v="Standard Class"/>
    <s v="HP-14815"/>
    <x v="6"/>
    <s v="Home Office"/>
    <s v="United States"/>
    <s v="Fort Worth"/>
    <x v="5"/>
    <n v="76106"/>
    <s v="Central"/>
    <s v="OFF-BI-10000756"/>
    <x v="1"/>
    <x v="8"/>
    <s v="Storex DuraTech Recycled Plastic Frosted Binders"/>
    <n v="2.544"/>
    <n v="3"/>
    <n v="0.8"/>
    <n v="-3.8159999999999998"/>
  </r>
  <r>
    <n v="17"/>
    <s v="CA-2014-105893"/>
    <d v="2014-11-11T00:00:00"/>
    <d v="2014-11-18T00:00:00"/>
    <x v="0"/>
    <x v="2"/>
    <s v="Standard Class"/>
    <s v="PK-19075"/>
    <x v="7"/>
    <s v="Consumer"/>
    <s v="United States"/>
    <s v="Madison"/>
    <x v="6"/>
    <n v="53711"/>
    <s v="Central"/>
    <s v="OFF-ST-10004186"/>
    <x v="1"/>
    <x v="4"/>
    <s v="Stur-D-Stor Shelving, Vertical 5-Shelf: 72&quot;H x 36&quot;W x 18 1/2&quot;D"/>
    <n v="665.88"/>
    <n v="6"/>
    <n v="0"/>
    <n v="13.317600000000001"/>
  </r>
  <r>
    <n v="18"/>
    <s v="CA-2014-167164"/>
    <d v="2014-05-13T00:00:00"/>
    <d v="2014-05-15T00:00:00"/>
    <x v="5"/>
    <x v="2"/>
    <s v="Second Class"/>
    <s v="AG-10270"/>
    <x v="8"/>
    <s v="Consumer"/>
    <s v="United States"/>
    <s v="West Jordan"/>
    <x v="7"/>
    <n v="84084"/>
    <s v="West"/>
    <s v="OFF-ST-10000107"/>
    <x v="1"/>
    <x v="4"/>
    <s v="Fellowes Super Stor/Drawer"/>
    <n v="55.5"/>
    <n v="2"/>
    <n v="0"/>
    <n v="9.99"/>
  </r>
  <r>
    <n v="19"/>
    <s v="CA-2014-143336"/>
    <d v="2014-08-27T00:00:00"/>
    <d v="2014-09-01T00:00:00"/>
    <x v="6"/>
    <x v="2"/>
    <s v="Second Class"/>
    <s v="ZD-21925"/>
    <x v="9"/>
    <s v="Consumer"/>
    <s v="United States"/>
    <s v="San Francisco"/>
    <x v="1"/>
    <n v="94109"/>
    <s v="West"/>
    <s v="OFF-AR-10003056"/>
    <x v="1"/>
    <x v="6"/>
    <s v="Newell 341"/>
    <n v="8.56"/>
    <n v="2"/>
    <n v="0"/>
    <n v="2.4824000000000002"/>
  </r>
  <r>
    <n v="20"/>
    <s v="CA-2014-143336"/>
    <d v="2014-08-27T00:00:00"/>
    <d v="2014-09-01T00:00:00"/>
    <x v="6"/>
    <x v="2"/>
    <s v="Second Class"/>
    <s v="ZD-21925"/>
    <x v="9"/>
    <s v="Consumer"/>
    <s v="United States"/>
    <s v="San Francisco"/>
    <x v="1"/>
    <n v="94109"/>
    <s v="West"/>
    <s v="TEC-PH-10001949"/>
    <x v="2"/>
    <x v="7"/>
    <s v="Cisco SPA 501G IP Phone"/>
    <n v="213.48"/>
    <n v="3"/>
    <n v="0.2"/>
    <n v="16.010999999999999"/>
  </r>
  <r>
    <n v="21"/>
    <s v="CA-2014-143336"/>
    <d v="2014-08-27T00:00:00"/>
    <d v="2014-09-01T00:00:00"/>
    <x v="6"/>
    <x v="2"/>
    <s v="Second Class"/>
    <s v="ZD-21925"/>
    <x v="9"/>
    <s v="Consumer"/>
    <s v="United States"/>
    <s v="San Francisco"/>
    <x v="1"/>
    <n v="94109"/>
    <s v="West"/>
    <s v="OFF-BI-10002215"/>
    <x v="1"/>
    <x v="8"/>
    <s v="Wilson Jones Hanging View Binder, White, 1&quot;"/>
    <n v="22.72"/>
    <n v="4"/>
    <n v="0.2"/>
    <n v="7.3840000000000003"/>
  </r>
  <r>
    <n v="22"/>
    <s v="CA-2016-137330"/>
    <d v="2016-12-09T00:00:00"/>
    <d v="2016-12-13T00:00:00"/>
    <x v="4"/>
    <x v="0"/>
    <s v="Standard Class"/>
    <s v="KB-16585"/>
    <x v="10"/>
    <s v="Corporate"/>
    <s v="United States"/>
    <s v="Fremont"/>
    <x v="8"/>
    <n v="68025"/>
    <s v="Central"/>
    <s v="OFF-AR-10000246"/>
    <x v="1"/>
    <x v="6"/>
    <s v="Newell 318"/>
    <n v="19.46"/>
    <n v="7"/>
    <n v="0"/>
    <n v="5.0595999999999997"/>
  </r>
  <r>
    <n v="23"/>
    <s v="CA-2016-137330"/>
    <d v="2016-12-09T00:00:00"/>
    <d v="2016-12-13T00:00:00"/>
    <x v="4"/>
    <x v="0"/>
    <s v="Standard Class"/>
    <s v="KB-16585"/>
    <x v="10"/>
    <s v="Corporate"/>
    <s v="United States"/>
    <s v="Fremont"/>
    <x v="8"/>
    <n v="68025"/>
    <s v="Central"/>
    <s v="OFF-AP-10001492"/>
    <x v="1"/>
    <x v="9"/>
    <s v="Acco Six-Outlet Power Strip, 4' Cord Length"/>
    <n v="60.34"/>
    <n v="7"/>
    <n v="0"/>
    <n v="15.6884"/>
  </r>
  <r>
    <n v="24"/>
    <s v="US-2017-156909"/>
    <d v="2017-07-16T00:00:00"/>
    <d v="2017-07-18T00:00:00"/>
    <x v="7"/>
    <x v="3"/>
    <s v="Second Class"/>
    <s v="SF-20065"/>
    <x v="11"/>
    <s v="Consumer"/>
    <s v="United States"/>
    <s v="Philadelphia"/>
    <x v="9"/>
    <n v="19140"/>
    <s v="East"/>
    <s v="FUR-CH-10002774"/>
    <x v="0"/>
    <x v="1"/>
    <s v="Global Deluxe Stacking Chair, Gray"/>
    <n v="71.372"/>
    <n v="2"/>
    <n v="0.3"/>
    <n v="-1.0196000000000001"/>
  </r>
  <r>
    <n v="25"/>
    <s v="CA-2015-106320"/>
    <d v="2015-09-25T00:00:00"/>
    <d v="2015-09-30T00:00:00"/>
    <x v="8"/>
    <x v="1"/>
    <s v="Standard Class"/>
    <s v="EB-13870"/>
    <x v="12"/>
    <s v="Consumer"/>
    <s v="United States"/>
    <s v="Orem"/>
    <x v="7"/>
    <n v="84057"/>
    <s v="West"/>
    <s v="FUR-TA-10000577"/>
    <x v="0"/>
    <x v="3"/>
    <s v="Bretford CR4500 Series Slim Rectangular Table"/>
    <n v="1044.6300000000001"/>
    <n v="3"/>
    <n v="0"/>
    <n v="240.26490000000001"/>
  </r>
  <r>
    <n v="26"/>
    <s v="CA-2016-121755"/>
    <d v="2016-01-16T00:00:00"/>
    <d v="2016-01-20T00:00:00"/>
    <x v="9"/>
    <x v="0"/>
    <s v="Second Class"/>
    <s v="EH-13945"/>
    <x v="13"/>
    <s v="Consumer"/>
    <s v="United States"/>
    <s v="Los Angeles"/>
    <x v="1"/>
    <n v="90049"/>
    <s v="West"/>
    <s v="OFF-BI-10001634"/>
    <x v="1"/>
    <x v="8"/>
    <s v="Wilson Jones Active Use Binders"/>
    <n v="11.648"/>
    <n v="2"/>
    <n v="0.2"/>
    <n v="4.2224000000000004"/>
  </r>
  <r>
    <n v="27"/>
    <s v="CA-2016-121755"/>
    <d v="2016-01-16T00:00:00"/>
    <d v="2016-01-20T00:00:00"/>
    <x v="9"/>
    <x v="0"/>
    <s v="Second Class"/>
    <s v="EH-13945"/>
    <x v="13"/>
    <s v="Consumer"/>
    <s v="United States"/>
    <s v="Los Angeles"/>
    <x v="1"/>
    <n v="90049"/>
    <s v="West"/>
    <s v="TEC-AC-10003027"/>
    <x v="2"/>
    <x v="11"/>
    <s v="Imation 8GB Mini TravelDrive USB 2.0 Flash Drive"/>
    <n v="90.57"/>
    <n v="3"/>
    <n v="0"/>
    <n v="11.774100000000001"/>
  </r>
  <r>
    <n v="28"/>
    <s v="US-2015-150630"/>
    <d v="2015-09-17T00:00:00"/>
    <d v="2015-09-21T00:00:00"/>
    <x v="8"/>
    <x v="1"/>
    <s v="Standard Class"/>
    <s v="TB-21520"/>
    <x v="14"/>
    <s v="Consumer"/>
    <s v="United States"/>
    <s v="Philadelphia"/>
    <x v="9"/>
    <n v="19140"/>
    <s v="East"/>
    <s v="FUR-BO-10004834"/>
    <x v="0"/>
    <x v="0"/>
    <s v="Riverside Palais Royal Lawyers Bookcase, Royale Cherry Finish"/>
    <n v="3083.43"/>
    <n v="7"/>
    <n v="0.5"/>
    <n v="-1665.0522000000001"/>
  </r>
  <r>
    <n v="29"/>
    <s v="US-2015-150630"/>
    <d v="2015-09-17T00:00:00"/>
    <d v="2015-09-21T00:00:00"/>
    <x v="8"/>
    <x v="1"/>
    <s v="Standard Class"/>
    <s v="TB-21520"/>
    <x v="14"/>
    <s v="Consumer"/>
    <s v="United States"/>
    <s v="Philadelphia"/>
    <x v="9"/>
    <n v="19140"/>
    <s v="East"/>
    <s v="OFF-BI-10000474"/>
    <x v="1"/>
    <x v="8"/>
    <s v="Avery Recycled Flexi-View Covers for Binding Systems"/>
    <n v="9.6180000000000003"/>
    <n v="2"/>
    <n v="0.7"/>
    <n v="-7.0532000000000004"/>
  </r>
  <r>
    <n v="30"/>
    <s v="US-2015-150630"/>
    <d v="2015-09-17T00:00:00"/>
    <d v="2015-09-21T00:00:00"/>
    <x v="8"/>
    <x v="1"/>
    <s v="Standard Class"/>
    <s v="TB-21520"/>
    <x v="14"/>
    <s v="Consumer"/>
    <s v="United States"/>
    <s v="Philadelphia"/>
    <x v="9"/>
    <n v="19140"/>
    <s v="East"/>
    <s v="FUR-FU-10004848"/>
    <x v="0"/>
    <x v="5"/>
    <s v="Howard Miller 13-3/4&quot; Diameter Brushed Chrome Round Wall Clock"/>
    <n v="124.2"/>
    <n v="3"/>
    <n v="0.2"/>
    <n v="15.525"/>
  </r>
  <r>
    <n v="31"/>
    <s v="US-2015-150630"/>
    <d v="2015-09-17T00:00:00"/>
    <d v="2015-09-21T00:00:00"/>
    <x v="8"/>
    <x v="1"/>
    <s v="Standard Class"/>
    <s v="TB-21520"/>
    <x v="14"/>
    <s v="Consumer"/>
    <s v="United States"/>
    <s v="Philadelphia"/>
    <x v="9"/>
    <n v="19140"/>
    <s v="East"/>
    <s v="OFF-EN-10001509"/>
    <x v="1"/>
    <x v="12"/>
    <s v="Poly String Tie Envelopes"/>
    <n v="3.2639999999999998"/>
    <n v="2"/>
    <n v="0.2"/>
    <n v="1.1015999999999999"/>
  </r>
  <r>
    <n v="32"/>
    <s v="US-2015-150630"/>
    <d v="2015-09-17T00:00:00"/>
    <d v="2015-09-21T00:00:00"/>
    <x v="8"/>
    <x v="1"/>
    <s v="Standard Class"/>
    <s v="TB-21520"/>
    <x v="14"/>
    <s v="Consumer"/>
    <s v="United States"/>
    <s v="Philadelphia"/>
    <x v="9"/>
    <n v="19140"/>
    <s v="East"/>
    <s v="OFF-AR-10004042"/>
    <x v="1"/>
    <x v="6"/>
    <s v="BOSTON Model 1800 Electric Pencil Sharpeners, Putty/Woodgrain"/>
    <n v="86.304000000000002"/>
    <n v="6"/>
    <n v="0.2"/>
    <n v="9.7091999999999992"/>
  </r>
  <r>
    <n v="33"/>
    <s v="US-2015-150630"/>
    <d v="2015-09-17T00:00:00"/>
    <d v="2015-09-21T00:00:00"/>
    <x v="8"/>
    <x v="1"/>
    <s v="Standard Class"/>
    <s v="TB-21520"/>
    <x v="14"/>
    <s v="Consumer"/>
    <s v="United States"/>
    <s v="Philadelphia"/>
    <x v="9"/>
    <n v="19140"/>
    <s v="East"/>
    <s v="OFF-BI-10001525"/>
    <x v="1"/>
    <x v="8"/>
    <s v="Acco Pressboard Covers with Storage Hooks, 14 7/8&quot; x 11&quot;, Executive Red"/>
    <n v="6.8579999999999997"/>
    <n v="6"/>
    <n v="0.7"/>
    <n v="-5.7149999999999999"/>
  </r>
  <r>
    <n v="34"/>
    <s v="US-2015-150630"/>
    <d v="2015-09-17T00:00:00"/>
    <d v="2015-09-21T00:00:00"/>
    <x v="8"/>
    <x v="1"/>
    <s v="Standard Class"/>
    <s v="TB-21520"/>
    <x v="14"/>
    <s v="Consumer"/>
    <s v="United States"/>
    <s v="Philadelphia"/>
    <x v="9"/>
    <n v="19140"/>
    <s v="East"/>
    <s v="OFF-AR-10001683"/>
    <x v="1"/>
    <x v="6"/>
    <s v="Lumber Crayons"/>
    <n v="15.76"/>
    <n v="2"/>
    <n v="0.2"/>
    <n v="3.5459999999999998"/>
  </r>
  <r>
    <n v="35"/>
    <s v="CA-2017-107727"/>
    <d v="2017-10-19T00:00:00"/>
    <d v="2017-10-23T00:00:00"/>
    <x v="2"/>
    <x v="3"/>
    <s v="Second Class"/>
    <s v="MA-17560"/>
    <x v="15"/>
    <s v="Home Office"/>
    <s v="United States"/>
    <s v="Houston"/>
    <x v="5"/>
    <n v="77095"/>
    <s v="Central"/>
    <s v="OFF-PA-10000249"/>
    <x v="1"/>
    <x v="10"/>
    <s v="Easy-staple paper"/>
    <n v="29.472000000000001"/>
    <n v="3"/>
    <n v="0.2"/>
    <n v="9.9467999999999996"/>
  </r>
  <r>
    <n v="36"/>
    <s v="CA-2016-117590"/>
    <d v="2016-12-08T00:00:00"/>
    <d v="2016-12-10T00:00:00"/>
    <x v="4"/>
    <x v="0"/>
    <s v="First Class"/>
    <s v="GH-14485"/>
    <x v="16"/>
    <s v="Corporate"/>
    <s v="United States"/>
    <s v="Richardson"/>
    <x v="5"/>
    <n v="75080"/>
    <s v="Central"/>
    <s v="TEC-PH-10004977"/>
    <x v="2"/>
    <x v="7"/>
    <s v="GE 30524EE4"/>
    <n v="1097.5440000000001"/>
    <n v="7"/>
    <n v="0.2"/>
    <n v="123.47369999999999"/>
  </r>
  <r>
    <n v="37"/>
    <s v="CA-2016-117590"/>
    <d v="2016-12-08T00:00:00"/>
    <d v="2016-12-10T00:00:00"/>
    <x v="4"/>
    <x v="0"/>
    <s v="First Class"/>
    <s v="GH-14485"/>
    <x v="16"/>
    <s v="Corporate"/>
    <s v="United States"/>
    <s v="Richardson"/>
    <x v="5"/>
    <n v="75080"/>
    <s v="Central"/>
    <s v="FUR-FU-10003664"/>
    <x v="0"/>
    <x v="5"/>
    <s v="Electrix Architect's Clamp-On Swing Arm Lamp, Black"/>
    <n v="190.92"/>
    <n v="5"/>
    <n v="0.6"/>
    <n v="-147.96299999999999"/>
  </r>
  <r>
    <n v="38"/>
    <s v="CA-2015-117415"/>
    <d v="2015-12-27T00:00:00"/>
    <d v="2015-12-31T00:00:00"/>
    <x v="4"/>
    <x v="1"/>
    <s v="Standard Class"/>
    <s v="SN-20710"/>
    <x v="17"/>
    <s v="Home Office"/>
    <s v="United States"/>
    <s v="Houston"/>
    <x v="5"/>
    <n v="77041"/>
    <s v="Central"/>
    <s v="OFF-EN-10002986"/>
    <x v="1"/>
    <x v="12"/>
    <s v="#10-4 1/8&quot; x 9 1/2&quot; Premium Diagonal Seam Envelopes"/>
    <n v="113.328"/>
    <n v="9"/>
    <n v="0.2"/>
    <n v="35.414999999999999"/>
  </r>
  <r>
    <n v="39"/>
    <s v="CA-2015-117415"/>
    <d v="2015-12-27T00:00:00"/>
    <d v="2015-12-31T00:00:00"/>
    <x v="4"/>
    <x v="1"/>
    <s v="Standard Class"/>
    <s v="SN-20710"/>
    <x v="17"/>
    <s v="Home Office"/>
    <s v="United States"/>
    <s v="Houston"/>
    <x v="5"/>
    <n v="77041"/>
    <s v="Central"/>
    <s v="FUR-BO-10002545"/>
    <x v="0"/>
    <x v="0"/>
    <s v="Atlantic Metals Mobile 3-Shelf Bookcases, Custom Colors"/>
    <n v="532.39919999999995"/>
    <n v="3"/>
    <n v="0.32"/>
    <n v="-46.976399999999998"/>
  </r>
  <r>
    <n v="40"/>
    <s v="CA-2015-117415"/>
    <d v="2015-12-27T00:00:00"/>
    <d v="2015-12-31T00:00:00"/>
    <x v="4"/>
    <x v="1"/>
    <s v="Standard Class"/>
    <s v="SN-20710"/>
    <x v="17"/>
    <s v="Home Office"/>
    <s v="United States"/>
    <s v="Houston"/>
    <x v="5"/>
    <n v="77041"/>
    <s v="Central"/>
    <s v="FUR-CH-10004218"/>
    <x v="0"/>
    <x v="1"/>
    <s v="Global Fabric Manager's Chair, Dark Gray"/>
    <n v="212.05799999999999"/>
    <n v="3"/>
    <n v="0.3"/>
    <n v="-15.147"/>
  </r>
  <r>
    <n v="41"/>
    <s v="CA-2015-117415"/>
    <d v="2015-12-27T00:00:00"/>
    <d v="2015-12-31T00:00:00"/>
    <x v="4"/>
    <x v="1"/>
    <s v="Standard Class"/>
    <s v="SN-20710"/>
    <x v="17"/>
    <s v="Home Office"/>
    <s v="United States"/>
    <s v="Houston"/>
    <x v="5"/>
    <n v="77041"/>
    <s v="Central"/>
    <s v="TEC-PH-10000486"/>
    <x v="2"/>
    <x v="7"/>
    <s v="Plantronics HL10 Handset Lifter"/>
    <n v="371.16800000000001"/>
    <n v="4"/>
    <n v="0.2"/>
    <n v="41.756399999999999"/>
  </r>
  <r>
    <n v="42"/>
    <s v="CA-2017-120999"/>
    <d v="2017-09-10T00:00:00"/>
    <d v="2017-09-15T00:00:00"/>
    <x v="8"/>
    <x v="3"/>
    <s v="Standard Class"/>
    <s v="LC-16930"/>
    <x v="18"/>
    <s v="Corporate"/>
    <s v="United States"/>
    <s v="Naperville"/>
    <x v="10"/>
    <n v="60540"/>
    <s v="Central"/>
    <s v="TEC-PH-10004093"/>
    <x v="2"/>
    <x v="7"/>
    <s v="Panasonic Kx-TS550"/>
    <n v="147.16800000000001"/>
    <n v="4"/>
    <n v="0.2"/>
    <n v="16.5564"/>
  </r>
  <r>
    <n v="43"/>
    <s v="CA-2016-101343"/>
    <d v="2016-07-17T00:00:00"/>
    <d v="2016-07-22T00:00:00"/>
    <x v="7"/>
    <x v="0"/>
    <s v="Standard Class"/>
    <s v="RA-19885"/>
    <x v="19"/>
    <s v="Corporate"/>
    <s v="United States"/>
    <s v="Los Angeles"/>
    <x v="1"/>
    <n v="90049"/>
    <s v="West"/>
    <s v="OFF-ST-10003479"/>
    <x v="1"/>
    <x v="4"/>
    <s v="Eldon Base for stackable storage shelf, platinum"/>
    <n v="77.88"/>
    <n v="2"/>
    <n v="0"/>
    <n v="3.8940000000000001"/>
  </r>
  <r>
    <n v="44"/>
    <s v="CA-2017-139619"/>
    <d v="2017-09-19T00:00:00"/>
    <d v="2017-09-23T00:00:00"/>
    <x v="8"/>
    <x v="3"/>
    <s v="Standard Class"/>
    <s v="ES-14080"/>
    <x v="20"/>
    <s v="Corporate"/>
    <s v="United States"/>
    <s v="Melbourne"/>
    <x v="2"/>
    <n v="32935"/>
    <s v="South"/>
    <s v="OFF-ST-10003282"/>
    <x v="1"/>
    <x v="4"/>
    <s v="Advantus 10-Drawer Portable Organizer, Chrome Metal Frame, Smoke Drawers"/>
    <n v="95.616"/>
    <n v="2"/>
    <n v="0.2"/>
    <n v="9.5616000000000003"/>
  </r>
  <r>
    <n v="45"/>
    <s v="CA-2016-118255"/>
    <d v="2016-03-11T00:00:00"/>
    <d v="2016-03-13T00:00:00"/>
    <x v="10"/>
    <x v="0"/>
    <s v="First Class"/>
    <s v="ON-18715"/>
    <x v="21"/>
    <s v="Corporate"/>
    <s v="United States"/>
    <s v="Eagan"/>
    <x v="11"/>
    <n v="55122"/>
    <s v="Central"/>
    <s v="TEC-AC-10000171"/>
    <x v="2"/>
    <x v="11"/>
    <s v="Verbatim 25 GB 6x Blu-ray Single Layer Recordable Disc, 25/Pack"/>
    <n v="45.98"/>
    <n v="2"/>
    <n v="0"/>
    <n v="19.7714"/>
  </r>
  <r>
    <n v="46"/>
    <s v="CA-2016-118255"/>
    <d v="2016-03-11T00:00:00"/>
    <d v="2016-03-13T00:00:00"/>
    <x v="10"/>
    <x v="0"/>
    <s v="First Class"/>
    <s v="ON-18715"/>
    <x v="21"/>
    <s v="Corporate"/>
    <s v="United States"/>
    <s v="Eagan"/>
    <x v="11"/>
    <n v="55122"/>
    <s v="Central"/>
    <s v="OFF-BI-10003291"/>
    <x v="1"/>
    <x v="8"/>
    <s v="Wilson Jones Leather-Like Binders with DublLock Round Rings"/>
    <n v="17.46"/>
    <n v="2"/>
    <n v="0"/>
    <n v="8.2062000000000008"/>
  </r>
  <r>
    <n v="47"/>
    <s v="CA-2014-146703"/>
    <d v="2014-10-20T00:00:00"/>
    <d v="2014-10-25T00:00:00"/>
    <x v="2"/>
    <x v="2"/>
    <s v="Second Class"/>
    <s v="PO-18865"/>
    <x v="22"/>
    <s v="Consumer"/>
    <s v="United States"/>
    <s v="Westland"/>
    <x v="12"/>
    <n v="48185"/>
    <s v="Central"/>
    <s v="OFF-ST-10001713"/>
    <x v="1"/>
    <x v="4"/>
    <s v="Gould Plastics 9-Pocket Panel Bin, 18-3/8w x 5-1/4d x 20-1/2h, Black"/>
    <n v="211.96"/>
    <n v="4"/>
    <n v="0"/>
    <n v="8.4784000000000006"/>
  </r>
  <r>
    <n v="48"/>
    <s v="CA-2016-169194"/>
    <d v="2016-06-20T00:00:00"/>
    <d v="2016-06-25T00:00:00"/>
    <x v="1"/>
    <x v="0"/>
    <s v="Standard Class"/>
    <s v="LH-16900"/>
    <x v="23"/>
    <s v="Consumer"/>
    <s v="United States"/>
    <s v="Dover"/>
    <x v="13"/>
    <n v="19901"/>
    <s v="East"/>
    <s v="TEC-AC-10002167"/>
    <x v="2"/>
    <x v="11"/>
    <s v="Imation 8gb Micro Traveldrive Usb 2.0 Flash Drive"/>
    <n v="45"/>
    <n v="3"/>
    <n v="0"/>
    <n v="4.95"/>
  </r>
  <r>
    <n v="49"/>
    <s v="CA-2016-169194"/>
    <d v="2016-06-20T00:00:00"/>
    <d v="2016-06-25T00:00:00"/>
    <x v="1"/>
    <x v="0"/>
    <s v="Standard Class"/>
    <s v="LH-16900"/>
    <x v="23"/>
    <s v="Consumer"/>
    <s v="United States"/>
    <s v="Dover"/>
    <x v="13"/>
    <n v="19901"/>
    <s v="East"/>
    <s v="TEC-PH-10003988"/>
    <x v="2"/>
    <x v="7"/>
    <s v="LF Elite 3D Dazzle Designer Hard Case Cover, Lf Stylus Pen and Wiper For Apple Iphone 5c Mini Lite"/>
    <n v="21.8"/>
    <n v="2"/>
    <n v="0"/>
    <n v="6.1040000000000001"/>
  </r>
  <r>
    <n v="50"/>
    <s v="CA-2015-115742"/>
    <d v="2015-04-18T00:00:00"/>
    <d v="2015-04-22T00:00:00"/>
    <x v="3"/>
    <x v="1"/>
    <s v="Standard Class"/>
    <s v="DP-13000"/>
    <x v="24"/>
    <s v="Consumer"/>
    <s v="United States"/>
    <s v="New Albany"/>
    <x v="14"/>
    <n v="47150"/>
    <s v="Central"/>
    <s v="OFF-BI-10004410"/>
    <x v="1"/>
    <x v="8"/>
    <s v="C-Line Peel &amp; Stick Add-On Filing Pockets, 8-3/4 x 5-1/8, 10/Pack"/>
    <n v="38.22"/>
    <n v="6"/>
    <n v="0"/>
    <n v="17.9634"/>
  </r>
  <r>
    <n v="51"/>
    <s v="CA-2015-115742"/>
    <d v="2015-04-18T00:00:00"/>
    <d v="2015-04-22T00:00:00"/>
    <x v="3"/>
    <x v="1"/>
    <s v="Standard Class"/>
    <s v="DP-13000"/>
    <x v="24"/>
    <s v="Consumer"/>
    <s v="United States"/>
    <s v="New Albany"/>
    <x v="14"/>
    <n v="47150"/>
    <s v="Central"/>
    <s v="OFF-LA-10002762"/>
    <x v="1"/>
    <x v="2"/>
    <s v="Avery 485"/>
    <n v="75.180000000000007"/>
    <n v="6"/>
    <n v="0"/>
    <n v="35.334600000000002"/>
  </r>
  <r>
    <n v="52"/>
    <s v="CA-2015-115742"/>
    <d v="2015-04-18T00:00:00"/>
    <d v="2015-04-22T00:00:00"/>
    <x v="3"/>
    <x v="1"/>
    <s v="Standard Class"/>
    <s v="DP-13000"/>
    <x v="24"/>
    <s v="Consumer"/>
    <s v="United States"/>
    <s v="New Albany"/>
    <x v="14"/>
    <n v="47150"/>
    <s v="Central"/>
    <s v="FUR-FU-10001706"/>
    <x v="0"/>
    <x v="5"/>
    <s v="Longer-Life Soft White Bulbs"/>
    <n v="6.16"/>
    <n v="2"/>
    <n v="0"/>
    <n v="2.9567999999999999"/>
  </r>
  <r>
    <n v="53"/>
    <s v="CA-2015-115742"/>
    <d v="2015-04-18T00:00:00"/>
    <d v="2015-04-22T00:00:00"/>
    <x v="3"/>
    <x v="1"/>
    <s v="Standard Class"/>
    <s v="DP-13000"/>
    <x v="24"/>
    <s v="Consumer"/>
    <s v="United States"/>
    <s v="New Albany"/>
    <x v="14"/>
    <n v="47150"/>
    <s v="Central"/>
    <s v="FUR-CH-10003061"/>
    <x v="0"/>
    <x v="1"/>
    <s v="Global Leather Task Chair, Black"/>
    <n v="89.99"/>
    <n v="1"/>
    <n v="0"/>
    <n v="17.098099999999999"/>
  </r>
  <r>
    <n v="54"/>
    <s v="CA-2016-105816"/>
    <d v="2016-12-11T00:00:00"/>
    <d v="2016-12-17T00:00:00"/>
    <x v="4"/>
    <x v="0"/>
    <s v="Standard Class"/>
    <s v="JM-15265"/>
    <x v="25"/>
    <s v="Corporate"/>
    <s v="United States"/>
    <s v="New York City"/>
    <x v="15"/>
    <n v="10024"/>
    <s v="East"/>
    <s v="OFF-FA-10000304"/>
    <x v="1"/>
    <x v="13"/>
    <s v="Advantus Push Pins"/>
    <n v="15.26"/>
    <n v="7"/>
    <n v="0"/>
    <n v="6.2565999999999997"/>
  </r>
  <r>
    <n v="55"/>
    <s v="CA-2016-105816"/>
    <d v="2016-12-11T00:00:00"/>
    <d v="2016-12-17T00:00:00"/>
    <x v="4"/>
    <x v="0"/>
    <s v="Standard Class"/>
    <s v="JM-15265"/>
    <x v="25"/>
    <s v="Corporate"/>
    <s v="United States"/>
    <s v="New York City"/>
    <x v="15"/>
    <n v="10024"/>
    <s v="East"/>
    <s v="TEC-PH-10002447"/>
    <x v="2"/>
    <x v="7"/>
    <s v="AT&amp;T CL83451 4-Handset Telephone"/>
    <n v="1029.95"/>
    <n v="5"/>
    <n v="0"/>
    <n v="298.68549999999999"/>
  </r>
  <r>
    <n v="56"/>
    <s v="CA-2016-111682"/>
    <d v="2016-06-17T00:00:00"/>
    <d v="2016-06-18T00:00:00"/>
    <x v="1"/>
    <x v="0"/>
    <s v="First Class"/>
    <s v="TB-21055"/>
    <x v="26"/>
    <s v="Consumer"/>
    <s v="United States"/>
    <s v="Troy"/>
    <x v="15"/>
    <n v="12180"/>
    <s v="East"/>
    <s v="OFF-ST-10000604"/>
    <x v="1"/>
    <x v="4"/>
    <s v="Home/Office Personal File Carts"/>
    <n v="208.56"/>
    <n v="6"/>
    <n v="0"/>
    <n v="52.14"/>
  </r>
  <r>
    <n v="57"/>
    <s v="CA-2016-111682"/>
    <d v="2016-06-17T00:00:00"/>
    <d v="2016-06-18T00:00:00"/>
    <x v="1"/>
    <x v="0"/>
    <s v="First Class"/>
    <s v="TB-21055"/>
    <x v="26"/>
    <s v="Consumer"/>
    <s v="United States"/>
    <s v="Troy"/>
    <x v="15"/>
    <n v="12180"/>
    <s v="East"/>
    <s v="OFF-PA-10001569"/>
    <x v="1"/>
    <x v="10"/>
    <s v="Xerox 232"/>
    <n v="32.4"/>
    <n v="5"/>
    <n v="0"/>
    <n v="15.552"/>
  </r>
  <r>
    <n v="58"/>
    <s v="CA-2016-111682"/>
    <d v="2016-06-17T00:00:00"/>
    <d v="2016-06-18T00:00:00"/>
    <x v="1"/>
    <x v="0"/>
    <s v="First Class"/>
    <s v="TB-21055"/>
    <x v="26"/>
    <s v="Consumer"/>
    <s v="United States"/>
    <s v="Troy"/>
    <x v="15"/>
    <n v="12180"/>
    <s v="East"/>
    <s v="FUR-CH-10003968"/>
    <x v="0"/>
    <x v="1"/>
    <s v="Novimex Turbo Task Chair"/>
    <n v="319.41000000000003"/>
    <n v="5"/>
    <n v="0.1"/>
    <n v="7.0979999999999999"/>
  </r>
  <r>
    <n v="59"/>
    <s v="CA-2016-111682"/>
    <d v="2016-06-17T00:00:00"/>
    <d v="2016-06-18T00:00:00"/>
    <x v="1"/>
    <x v="0"/>
    <s v="First Class"/>
    <s v="TB-21055"/>
    <x v="26"/>
    <s v="Consumer"/>
    <s v="United States"/>
    <s v="Troy"/>
    <x v="15"/>
    <n v="12180"/>
    <s v="East"/>
    <s v="OFF-PA-10000587"/>
    <x v="1"/>
    <x v="10"/>
    <s v="Array Parchment Paper, Assorted Colors"/>
    <n v="14.56"/>
    <n v="2"/>
    <n v="0"/>
    <n v="6.9888000000000003"/>
  </r>
  <r>
    <n v="60"/>
    <s v="CA-2016-111682"/>
    <d v="2016-06-17T00:00:00"/>
    <d v="2016-06-18T00:00:00"/>
    <x v="1"/>
    <x v="0"/>
    <s v="First Class"/>
    <s v="TB-21055"/>
    <x v="26"/>
    <s v="Consumer"/>
    <s v="United States"/>
    <s v="Troy"/>
    <x v="15"/>
    <n v="12180"/>
    <s v="East"/>
    <s v="TEC-AC-10002167"/>
    <x v="2"/>
    <x v="11"/>
    <s v="Imation 8gb Micro Traveldrive Usb 2.0 Flash Drive"/>
    <n v="30"/>
    <n v="2"/>
    <n v="0"/>
    <n v="3.3"/>
  </r>
  <r>
    <n v="61"/>
    <s v="CA-2016-111682"/>
    <d v="2016-06-17T00:00:00"/>
    <d v="2016-06-18T00:00:00"/>
    <x v="1"/>
    <x v="0"/>
    <s v="First Class"/>
    <s v="TB-21055"/>
    <x v="26"/>
    <s v="Consumer"/>
    <s v="United States"/>
    <s v="Troy"/>
    <x v="15"/>
    <n v="12180"/>
    <s v="East"/>
    <s v="OFF-BI-10001460"/>
    <x v="1"/>
    <x v="8"/>
    <s v="Plastic Binding Combs"/>
    <n v="48.48"/>
    <n v="4"/>
    <n v="0.2"/>
    <n v="16.361999999999998"/>
  </r>
  <r>
    <n v="62"/>
    <s v="CA-2016-111682"/>
    <d v="2016-06-17T00:00:00"/>
    <d v="2016-06-18T00:00:00"/>
    <x v="1"/>
    <x v="0"/>
    <s v="First Class"/>
    <s v="TB-21055"/>
    <x v="26"/>
    <s v="Consumer"/>
    <s v="United States"/>
    <s v="Troy"/>
    <x v="15"/>
    <n v="12180"/>
    <s v="East"/>
    <s v="OFF-AR-10001868"/>
    <x v="1"/>
    <x v="6"/>
    <s v="Prang Dustless Chalk Sticks"/>
    <n v="1.68"/>
    <n v="1"/>
    <n v="0"/>
    <n v="0.84"/>
  </r>
  <r>
    <n v="63"/>
    <s v="CA-2015-135545"/>
    <d v="2015-11-24T00:00:00"/>
    <d v="2015-11-30T00:00:00"/>
    <x v="0"/>
    <x v="1"/>
    <s v="Standard Class"/>
    <s v="KM-16720"/>
    <x v="27"/>
    <s v="Consumer"/>
    <s v="United States"/>
    <s v="Los Angeles"/>
    <x v="1"/>
    <n v="90004"/>
    <s v="West"/>
    <s v="TEC-AC-10004633"/>
    <x v="2"/>
    <x v="11"/>
    <s v="Verbatim 25 GB 6x Blu-ray Single Layer Recordable Disc, 3/Pack"/>
    <n v="13.98"/>
    <n v="2"/>
    <n v="0"/>
    <n v="6.1512000000000002"/>
  </r>
  <r>
    <n v="64"/>
    <s v="CA-2015-135545"/>
    <d v="2015-11-24T00:00:00"/>
    <d v="2015-11-30T00:00:00"/>
    <x v="0"/>
    <x v="1"/>
    <s v="Standard Class"/>
    <s v="KM-16720"/>
    <x v="27"/>
    <s v="Consumer"/>
    <s v="United States"/>
    <s v="Los Angeles"/>
    <x v="1"/>
    <n v="90004"/>
    <s v="West"/>
    <s v="OFF-BI-10001078"/>
    <x v="1"/>
    <x v="8"/>
    <s v="Acco PRESSTEX Data Binder with Storage Hooks, Dark Blue, 14 7/8&quot; X 11&quot;"/>
    <n v="25.824000000000002"/>
    <n v="6"/>
    <n v="0.2"/>
    <n v="9.3612000000000002"/>
  </r>
  <r>
    <n v="65"/>
    <s v="CA-2015-135545"/>
    <d v="2015-11-24T00:00:00"/>
    <d v="2015-11-30T00:00:00"/>
    <x v="0"/>
    <x v="1"/>
    <s v="Standard Class"/>
    <s v="KM-16720"/>
    <x v="27"/>
    <s v="Consumer"/>
    <s v="United States"/>
    <s v="Los Angeles"/>
    <x v="1"/>
    <n v="90004"/>
    <s v="West"/>
    <s v="OFF-PA-10003892"/>
    <x v="1"/>
    <x v="10"/>
    <s v="Xerox 1943"/>
    <n v="146.72999999999999"/>
    <n v="3"/>
    <n v="0"/>
    <n v="68.963099999999997"/>
  </r>
  <r>
    <n v="66"/>
    <s v="CA-2015-135545"/>
    <d v="2015-11-24T00:00:00"/>
    <d v="2015-11-30T00:00:00"/>
    <x v="0"/>
    <x v="1"/>
    <s v="Standard Class"/>
    <s v="KM-16720"/>
    <x v="27"/>
    <s v="Consumer"/>
    <s v="United States"/>
    <s v="Los Angeles"/>
    <x v="1"/>
    <n v="90004"/>
    <s v="West"/>
    <s v="FUR-FU-10000397"/>
    <x v="0"/>
    <x v="5"/>
    <s v="Luxo Economy Swing Arm Lamp"/>
    <n v="79.760000000000005"/>
    <n v="4"/>
    <n v="0"/>
    <n v="22.332799999999999"/>
  </r>
  <r>
    <n v="67"/>
    <s v="US-2015-164175"/>
    <d v="2015-04-30T00:00:00"/>
    <d v="2015-05-05T00:00:00"/>
    <x v="3"/>
    <x v="1"/>
    <s v="Standard Class"/>
    <s v="PS-18970"/>
    <x v="28"/>
    <s v="Home Office"/>
    <s v="United States"/>
    <s v="Chicago"/>
    <x v="10"/>
    <n v="60610"/>
    <s v="Central"/>
    <s v="FUR-CH-10001146"/>
    <x v="0"/>
    <x v="1"/>
    <s v="Global Value Mid-Back Manager's Chair, Gray"/>
    <n v="213.11500000000001"/>
    <n v="5"/>
    <n v="0.3"/>
    <n v="-15.2225"/>
  </r>
  <r>
    <n v="68"/>
    <s v="CA-2014-106376"/>
    <d v="2014-12-05T00:00:00"/>
    <d v="2014-12-10T00:00:00"/>
    <x v="4"/>
    <x v="2"/>
    <s v="Standard Class"/>
    <s v="BS-11590"/>
    <x v="29"/>
    <s v="Corporate"/>
    <s v="United States"/>
    <s v="Gilbert"/>
    <x v="16"/>
    <n v="85234"/>
    <s v="West"/>
    <s v="OFF-AR-10002671"/>
    <x v="1"/>
    <x v="6"/>
    <s v="Hunt BOSTON Model 1606 High-Volume Electric Pencil Sharpener, Beige"/>
    <n v="1113.0239999999999"/>
    <n v="8"/>
    <n v="0.2"/>
    <n v="111.30240000000001"/>
  </r>
  <r>
    <n v="69"/>
    <s v="CA-2014-106376"/>
    <d v="2014-12-05T00:00:00"/>
    <d v="2014-12-10T00:00:00"/>
    <x v="4"/>
    <x v="2"/>
    <s v="Standard Class"/>
    <s v="BS-11590"/>
    <x v="29"/>
    <s v="Corporate"/>
    <s v="United States"/>
    <s v="Gilbert"/>
    <x v="16"/>
    <n v="85234"/>
    <s v="West"/>
    <s v="TEC-PH-10002726"/>
    <x v="2"/>
    <x v="7"/>
    <s v="netTALK DUO VoIP Telephone Service"/>
    <n v="167.96799999999999"/>
    <n v="4"/>
    <n v="0.2"/>
    <n v="62.988"/>
  </r>
  <r>
    <n v="70"/>
    <s v="CA-2016-119823"/>
    <d v="2016-06-04T00:00:00"/>
    <d v="2016-06-06T00:00:00"/>
    <x v="1"/>
    <x v="0"/>
    <s v="First Class"/>
    <s v="KD-16270"/>
    <x v="30"/>
    <s v="Consumer"/>
    <s v="United States"/>
    <s v="Springfield"/>
    <x v="17"/>
    <n v="22153"/>
    <s v="South"/>
    <s v="OFF-PA-10000482"/>
    <x v="1"/>
    <x v="10"/>
    <s v="Snap-A-Way Black Print Carbonless Ruled Speed Letter, Triplicate"/>
    <n v="75.88"/>
    <n v="2"/>
    <n v="0"/>
    <n v="35.663600000000002"/>
  </r>
  <r>
    <n v="71"/>
    <s v="CA-2016-106075"/>
    <d v="2016-09-18T00:00:00"/>
    <d v="2016-09-23T00:00:00"/>
    <x v="8"/>
    <x v="0"/>
    <s v="Standard Class"/>
    <s v="HM-14980"/>
    <x v="31"/>
    <s v="Consumer"/>
    <s v="United States"/>
    <s v="New York City"/>
    <x v="15"/>
    <n v="10009"/>
    <s v="East"/>
    <s v="OFF-BI-10004654"/>
    <x v="1"/>
    <x v="8"/>
    <s v="Avery Binding System Hidden Tab Executive Style Index Sets"/>
    <n v="4.6159999999999997"/>
    <n v="1"/>
    <n v="0.2"/>
    <n v="1.7310000000000001"/>
  </r>
  <r>
    <n v="72"/>
    <s v="CA-2017-114440"/>
    <d v="2017-09-14T00:00:00"/>
    <d v="2017-09-17T00:00:00"/>
    <x v="8"/>
    <x v="3"/>
    <s v="Second Class"/>
    <s v="TB-21520"/>
    <x v="14"/>
    <s v="Consumer"/>
    <s v="United States"/>
    <s v="Jackson"/>
    <x v="12"/>
    <n v="49201"/>
    <s v="Central"/>
    <s v="OFF-PA-10004675"/>
    <x v="1"/>
    <x v="10"/>
    <s v="Telephone Message Books with Fax/Mobile Section, 5 1/2&quot; x 3 3/16&quot;"/>
    <n v="19.05"/>
    <n v="3"/>
    <n v="0"/>
    <n v="8.7629999999999999"/>
  </r>
  <r>
    <n v="73"/>
    <s v="US-2015-134026"/>
    <d v="2015-04-26T00:00:00"/>
    <d v="2015-05-02T00:00:00"/>
    <x v="3"/>
    <x v="1"/>
    <s v="Standard Class"/>
    <s v="JE-15745"/>
    <x v="32"/>
    <s v="Consumer"/>
    <s v="United States"/>
    <s v="Memphis"/>
    <x v="18"/>
    <n v="38109"/>
    <s v="South"/>
    <s v="FUR-CH-10000513"/>
    <x v="0"/>
    <x v="1"/>
    <s v="High-Back Leather Manager's Chair"/>
    <n v="831.93600000000004"/>
    <n v="8"/>
    <n v="0.2"/>
    <n v="-114.3912"/>
  </r>
  <r>
    <n v="74"/>
    <s v="US-2015-134026"/>
    <d v="2015-04-26T00:00:00"/>
    <d v="2015-05-02T00:00:00"/>
    <x v="3"/>
    <x v="1"/>
    <s v="Standard Class"/>
    <s v="JE-15745"/>
    <x v="32"/>
    <s v="Consumer"/>
    <s v="United States"/>
    <s v="Memphis"/>
    <x v="18"/>
    <n v="38109"/>
    <s v="South"/>
    <s v="FUR-FU-10003708"/>
    <x v="0"/>
    <x v="5"/>
    <s v="Tenex Traditional Chairmats for Medium Pile Carpet, Standard Lip, 36&quot; x 48&quot;"/>
    <n v="97.04"/>
    <n v="2"/>
    <n v="0.2"/>
    <n v="1.2130000000000001"/>
  </r>
  <r>
    <n v="75"/>
    <s v="US-2015-134026"/>
    <d v="2015-04-26T00:00:00"/>
    <d v="2015-05-02T00:00:00"/>
    <x v="3"/>
    <x v="1"/>
    <s v="Standard Class"/>
    <s v="JE-15745"/>
    <x v="32"/>
    <s v="Consumer"/>
    <s v="United States"/>
    <s v="Memphis"/>
    <x v="18"/>
    <n v="38109"/>
    <s v="South"/>
    <s v="OFF-ST-10004123"/>
    <x v="1"/>
    <x v="4"/>
    <s v="Safco Industrial Wire Shelving System"/>
    <n v="72.784000000000006"/>
    <n v="1"/>
    <n v="0.2"/>
    <n v="-18.196000000000002"/>
  </r>
  <r>
    <n v="76"/>
    <s v="US-2017-118038"/>
    <d v="2017-12-09T00:00:00"/>
    <d v="2017-12-11T00:00:00"/>
    <x v="4"/>
    <x v="3"/>
    <s v="First Class"/>
    <s v="KB-16600"/>
    <x v="33"/>
    <s v="Corporate"/>
    <s v="United States"/>
    <s v="Houston"/>
    <x v="5"/>
    <n v="77041"/>
    <s v="Central"/>
    <s v="OFF-BI-10004182"/>
    <x v="1"/>
    <x v="8"/>
    <s v="Economy Binders"/>
    <n v="1.248"/>
    <n v="3"/>
    <n v="0.8"/>
    <n v="-1.9343999999999999"/>
  </r>
  <r>
    <n v="77"/>
    <s v="US-2017-118038"/>
    <d v="2017-12-09T00:00:00"/>
    <d v="2017-12-11T00:00:00"/>
    <x v="4"/>
    <x v="3"/>
    <s v="First Class"/>
    <s v="KB-16600"/>
    <x v="33"/>
    <s v="Corporate"/>
    <s v="United States"/>
    <s v="Houston"/>
    <x v="5"/>
    <n v="77041"/>
    <s v="Central"/>
    <s v="FUR-FU-10000260"/>
    <x v="0"/>
    <x v="5"/>
    <s v="6&quot; Cubicle Wall Clock, Black"/>
    <n v="9.7080000000000002"/>
    <n v="3"/>
    <n v="0.6"/>
    <n v="-5.8247999999999998"/>
  </r>
  <r>
    <n v="78"/>
    <s v="US-2017-118038"/>
    <d v="2017-12-09T00:00:00"/>
    <d v="2017-12-11T00:00:00"/>
    <x v="4"/>
    <x v="3"/>
    <s v="First Class"/>
    <s v="KB-16600"/>
    <x v="33"/>
    <s v="Corporate"/>
    <s v="United States"/>
    <s v="Houston"/>
    <x v="5"/>
    <n v="77041"/>
    <s v="Central"/>
    <s v="OFF-ST-10000615"/>
    <x v="1"/>
    <x v="4"/>
    <s v="SimpliFile Personal File, Black Granite, 15w x 6-15/16d x 11-1/4h"/>
    <n v="27.24"/>
    <n v="3"/>
    <n v="0.2"/>
    <n v="2.7240000000000002"/>
  </r>
  <r>
    <n v="79"/>
    <s v="US-2014-147606"/>
    <d v="2014-11-26T00:00:00"/>
    <d v="2014-12-01T00:00:00"/>
    <x v="0"/>
    <x v="2"/>
    <s v="Second Class"/>
    <s v="JE-15745"/>
    <x v="32"/>
    <s v="Consumer"/>
    <s v="United States"/>
    <s v="Houston"/>
    <x v="5"/>
    <n v="77070"/>
    <s v="Central"/>
    <s v="FUR-FU-10003194"/>
    <x v="0"/>
    <x v="5"/>
    <s v="Eldon Expressions Desk Accessory, Wood Pencil Holder, Oak"/>
    <n v="19.3"/>
    <n v="5"/>
    <n v="0.6"/>
    <n v="-14.475"/>
  </r>
  <r>
    <n v="80"/>
    <s v="CA-2016-127208"/>
    <d v="2016-06-12T00:00:00"/>
    <d v="2016-06-15T00:00:00"/>
    <x v="1"/>
    <x v="0"/>
    <s v="First Class"/>
    <s v="SC-20770"/>
    <x v="34"/>
    <s v="Corporate"/>
    <s v="United States"/>
    <s v="Decatur"/>
    <x v="19"/>
    <n v="35601"/>
    <s v="South"/>
    <s v="OFF-AP-10002118"/>
    <x v="1"/>
    <x v="9"/>
    <s v="1.7 Cubic Foot Compact &quot;Cube&quot; Office Refrigerators"/>
    <n v="208.16"/>
    <n v="1"/>
    <n v="0"/>
    <n v="56.203200000000002"/>
  </r>
  <r>
    <n v="81"/>
    <s v="CA-2016-127208"/>
    <d v="2016-06-12T00:00:00"/>
    <d v="2016-06-15T00:00:00"/>
    <x v="1"/>
    <x v="0"/>
    <s v="First Class"/>
    <s v="SC-20770"/>
    <x v="34"/>
    <s v="Corporate"/>
    <s v="United States"/>
    <s v="Decatur"/>
    <x v="19"/>
    <n v="35601"/>
    <s v="South"/>
    <s v="OFF-BI-10002309"/>
    <x v="1"/>
    <x v="8"/>
    <s v="Avery Heavy-Duty EZD  Binder With Locking Rings"/>
    <n v="16.739999999999998"/>
    <n v="3"/>
    <n v="0"/>
    <n v="8.0351999999999997"/>
  </r>
  <r>
    <n v="82"/>
    <s v="CA-2014-139451"/>
    <d v="2014-10-12T00:00:00"/>
    <d v="2014-10-16T00:00:00"/>
    <x v="2"/>
    <x v="2"/>
    <s v="Standard Class"/>
    <s v="DN-13690"/>
    <x v="35"/>
    <s v="Consumer"/>
    <s v="United States"/>
    <s v="San Francisco"/>
    <x v="1"/>
    <n v="94122"/>
    <s v="West"/>
    <s v="OFF-AR-10002053"/>
    <x v="1"/>
    <x v="6"/>
    <s v="Premium Writing Pencils, Soft, #2 by Central Association for the Blind"/>
    <n v="14.9"/>
    <n v="5"/>
    <n v="0"/>
    <n v="4.1719999999999997"/>
  </r>
  <r>
    <n v="83"/>
    <s v="CA-2014-139451"/>
    <d v="2014-10-12T00:00:00"/>
    <d v="2014-10-16T00:00:00"/>
    <x v="2"/>
    <x v="2"/>
    <s v="Standard Class"/>
    <s v="DN-13690"/>
    <x v="35"/>
    <s v="Consumer"/>
    <s v="United States"/>
    <s v="San Francisco"/>
    <x v="1"/>
    <n v="94122"/>
    <s v="West"/>
    <s v="OFF-ST-10002370"/>
    <x v="1"/>
    <x v="4"/>
    <s v="Sortfiler Multipurpose Personal File Organizer, Black"/>
    <n v="21.39"/>
    <n v="1"/>
    <n v="0"/>
    <n v="6.2031000000000001"/>
  </r>
  <r>
    <n v="84"/>
    <s v="CA-2015-149734"/>
    <d v="2015-09-03T00:00:00"/>
    <d v="2015-09-08T00:00:00"/>
    <x v="8"/>
    <x v="1"/>
    <s v="Standard Class"/>
    <s v="JC-16105"/>
    <x v="36"/>
    <s v="Corporate"/>
    <s v="United States"/>
    <s v="Durham"/>
    <x v="3"/>
    <n v="27707"/>
    <s v="South"/>
    <s v="OFF-EN-10000927"/>
    <x v="1"/>
    <x v="12"/>
    <s v="Jet-Pak Recycled Peel 'N' Seal Padded Mailers"/>
    <n v="200.98400000000001"/>
    <n v="7"/>
    <n v="0.2"/>
    <n v="62.807499999999997"/>
  </r>
  <r>
    <n v="85"/>
    <s v="US-2017-119662"/>
    <d v="2017-11-13T00:00:00"/>
    <d v="2017-11-16T00:00:00"/>
    <x v="0"/>
    <x v="3"/>
    <s v="First Class"/>
    <s v="CS-12400"/>
    <x v="37"/>
    <s v="Home Office"/>
    <s v="United States"/>
    <s v="Chicago"/>
    <x v="10"/>
    <n v="60623"/>
    <s v="Central"/>
    <s v="OFF-ST-10003656"/>
    <x v="1"/>
    <x v="4"/>
    <s v="Safco Industrial Wire Shelving"/>
    <n v="230.376"/>
    <n v="3"/>
    <n v="0.2"/>
    <n v="-48.954900000000002"/>
  </r>
  <r>
    <n v="86"/>
    <s v="CA-2017-140088"/>
    <d v="2017-05-28T00:00:00"/>
    <d v="2017-05-30T00:00:00"/>
    <x v="5"/>
    <x v="3"/>
    <s v="Second Class"/>
    <s v="PO-18865"/>
    <x v="22"/>
    <s v="Consumer"/>
    <s v="United States"/>
    <s v="Columbia"/>
    <x v="20"/>
    <n v="29203"/>
    <s v="South"/>
    <s v="FUR-CH-10000863"/>
    <x v="0"/>
    <x v="1"/>
    <s v="Novimex Swivel Fabric Task Chair"/>
    <n v="301.95999999999998"/>
    <n v="2"/>
    <n v="0"/>
    <n v="33.215600000000002"/>
  </r>
  <r>
    <n v="87"/>
    <s v="CA-2017-155558"/>
    <d v="2017-10-26T00:00:00"/>
    <d v="2017-11-02T00:00:00"/>
    <x v="2"/>
    <x v="3"/>
    <s v="Standard Class"/>
    <s v="PG-18895"/>
    <x v="38"/>
    <s v="Consumer"/>
    <s v="United States"/>
    <s v="Rochester"/>
    <x v="11"/>
    <n v="55901"/>
    <s v="Central"/>
    <s v="TEC-AC-10001998"/>
    <x v="2"/>
    <x v="11"/>
    <s v="Logitech LS21 Speaker System - PC Multimedia - 2.1-CH - Wired"/>
    <n v="19.989999999999998"/>
    <n v="1"/>
    <n v="0"/>
    <n v="6.7965999999999998"/>
  </r>
  <r>
    <n v="88"/>
    <s v="CA-2017-155558"/>
    <d v="2017-10-26T00:00:00"/>
    <d v="2017-11-02T00:00:00"/>
    <x v="2"/>
    <x v="3"/>
    <s v="Standard Class"/>
    <s v="PG-18895"/>
    <x v="38"/>
    <s v="Consumer"/>
    <s v="United States"/>
    <s v="Rochester"/>
    <x v="11"/>
    <n v="55901"/>
    <s v="Central"/>
    <s v="OFF-LA-10000134"/>
    <x v="1"/>
    <x v="2"/>
    <s v="Avery 511"/>
    <n v="6.16"/>
    <n v="2"/>
    <n v="0"/>
    <n v="2.9567999999999999"/>
  </r>
  <r>
    <n v="89"/>
    <s v="CA-2016-159695"/>
    <d v="2016-04-05T00:00:00"/>
    <d v="2016-04-10T00:00:00"/>
    <x v="3"/>
    <x v="0"/>
    <s v="Second Class"/>
    <s v="GM-14455"/>
    <x v="39"/>
    <s v="Home Office"/>
    <s v="United States"/>
    <s v="Houston"/>
    <x v="5"/>
    <n v="77095"/>
    <s v="Central"/>
    <s v="OFF-ST-10003442"/>
    <x v="1"/>
    <x v="4"/>
    <s v="Eldon Portable Mobile Manager"/>
    <n v="158.36799999999999"/>
    <n v="7"/>
    <n v="0.2"/>
    <n v="13.857200000000001"/>
  </r>
  <r>
    <n v="90"/>
    <s v="CA-2016-109806"/>
    <d v="2016-09-17T00:00:00"/>
    <d v="2016-09-22T00:00:00"/>
    <x v="8"/>
    <x v="0"/>
    <s v="Standard Class"/>
    <s v="JS-15685"/>
    <x v="40"/>
    <s v="Corporate"/>
    <s v="United States"/>
    <s v="Los Angeles"/>
    <x v="1"/>
    <n v="90036"/>
    <s v="West"/>
    <s v="OFF-AR-10004930"/>
    <x v="1"/>
    <x v="6"/>
    <s v="Turquoise Lead Holder with Pocket Clip"/>
    <n v="20.100000000000001"/>
    <n v="3"/>
    <n v="0"/>
    <n v="6.633"/>
  </r>
  <r>
    <n v="91"/>
    <s v="CA-2016-109806"/>
    <d v="2016-09-17T00:00:00"/>
    <d v="2016-09-22T00:00:00"/>
    <x v="8"/>
    <x v="0"/>
    <s v="Standard Class"/>
    <s v="JS-15685"/>
    <x v="40"/>
    <s v="Corporate"/>
    <s v="United States"/>
    <s v="Los Angeles"/>
    <x v="1"/>
    <n v="90036"/>
    <s v="West"/>
    <s v="TEC-PH-10004093"/>
    <x v="2"/>
    <x v="7"/>
    <s v="Panasonic Kx-TS550"/>
    <n v="73.584000000000003"/>
    <n v="2"/>
    <n v="0.2"/>
    <n v="8.2782"/>
  </r>
  <r>
    <n v="92"/>
    <s v="CA-2016-109806"/>
    <d v="2016-09-17T00:00:00"/>
    <d v="2016-09-22T00:00:00"/>
    <x v="8"/>
    <x v="0"/>
    <s v="Standard Class"/>
    <s v="JS-15685"/>
    <x v="40"/>
    <s v="Corporate"/>
    <s v="United States"/>
    <s v="Los Angeles"/>
    <x v="1"/>
    <n v="90036"/>
    <s v="West"/>
    <s v="OFF-PA-10000304"/>
    <x v="1"/>
    <x v="10"/>
    <s v="Xerox 1995"/>
    <n v="6.48"/>
    <n v="1"/>
    <n v="0"/>
    <n v="3.1103999999999998"/>
  </r>
  <r>
    <n v="93"/>
    <s v="CA-2015-149587"/>
    <d v="2015-01-31T00:00:00"/>
    <d v="2015-02-05T00:00:00"/>
    <x v="9"/>
    <x v="1"/>
    <s v="Second Class"/>
    <s v="KB-16315"/>
    <x v="41"/>
    <s v="Consumer"/>
    <s v="United States"/>
    <s v="Minneapolis"/>
    <x v="11"/>
    <n v="55407"/>
    <s v="Central"/>
    <s v="OFF-PA-10003177"/>
    <x v="1"/>
    <x v="10"/>
    <s v="Xerox 1999"/>
    <n v="12.96"/>
    <n v="2"/>
    <n v="0"/>
    <n v="6.2207999999999997"/>
  </r>
  <r>
    <n v="94"/>
    <s v="CA-2015-149587"/>
    <d v="2015-01-31T00:00:00"/>
    <d v="2015-02-05T00:00:00"/>
    <x v="9"/>
    <x v="1"/>
    <s v="Second Class"/>
    <s v="KB-16315"/>
    <x v="41"/>
    <s v="Consumer"/>
    <s v="United States"/>
    <s v="Minneapolis"/>
    <x v="11"/>
    <n v="55407"/>
    <s v="Central"/>
    <s v="FUR-FU-10003799"/>
    <x v="0"/>
    <x v="5"/>
    <s v="Seth Thomas 13 1/2&quot; Wall Clock"/>
    <n v="53.34"/>
    <n v="3"/>
    <n v="0"/>
    <n v="16.535399999999999"/>
  </r>
  <r>
    <n v="95"/>
    <s v="CA-2015-149587"/>
    <d v="2015-01-31T00:00:00"/>
    <d v="2015-02-05T00:00:00"/>
    <x v="9"/>
    <x v="1"/>
    <s v="Second Class"/>
    <s v="KB-16315"/>
    <x v="41"/>
    <s v="Consumer"/>
    <s v="United States"/>
    <s v="Minneapolis"/>
    <x v="11"/>
    <n v="55407"/>
    <s v="Central"/>
    <s v="OFF-BI-10002852"/>
    <x v="1"/>
    <x v="8"/>
    <s v="Ibico Standard Transparent Covers"/>
    <n v="32.96"/>
    <n v="2"/>
    <n v="0"/>
    <n v="16.150400000000001"/>
  </r>
  <r>
    <n v="96"/>
    <s v="US-2017-109484"/>
    <d v="2017-11-06T00:00:00"/>
    <d v="2017-11-12T00:00:00"/>
    <x v="0"/>
    <x v="3"/>
    <s v="Standard Class"/>
    <s v="RB-19705"/>
    <x v="42"/>
    <s v="Home Office"/>
    <s v="United States"/>
    <s v="Portland"/>
    <x v="21"/>
    <n v="97206"/>
    <s v="West"/>
    <s v="OFF-BI-10004738"/>
    <x v="1"/>
    <x v="8"/>
    <s v="Flexible Leather- Look Classic Collection Ring Binder"/>
    <n v="5.6820000000000004"/>
    <n v="1"/>
    <n v="0.7"/>
    <n v="-3.7879999999999998"/>
  </r>
  <r>
    <n v="97"/>
    <s v="CA-2017-161018"/>
    <d v="2017-11-09T00:00:00"/>
    <d v="2017-11-11T00:00:00"/>
    <x v="0"/>
    <x v="3"/>
    <s v="Second Class"/>
    <s v="PN-18775"/>
    <x v="43"/>
    <s v="Home Office"/>
    <s v="United States"/>
    <s v="New York City"/>
    <x v="15"/>
    <n v="10009"/>
    <s v="East"/>
    <s v="FUR-FU-10000629"/>
    <x v="0"/>
    <x v="5"/>
    <s v="9-3/4 Diameter Round Wall Clock"/>
    <n v="96.53"/>
    <n v="7"/>
    <n v="0"/>
    <n v="40.5426"/>
  </r>
  <r>
    <n v="98"/>
    <s v="CA-2017-157833"/>
    <d v="2017-06-17T00:00:00"/>
    <d v="2017-06-20T00:00:00"/>
    <x v="1"/>
    <x v="3"/>
    <s v="First Class"/>
    <s v="KD-16345"/>
    <x v="44"/>
    <s v="Consumer"/>
    <s v="United States"/>
    <s v="San Francisco"/>
    <x v="1"/>
    <n v="94122"/>
    <s v="West"/>
    <s v="OFF-BI-10001721"/>
    <x v="1"/>
    <x v="8"/>
    <s v="Trimflex Flexible Post Binders"/>
    <n v="51.311999999999998"/>
    <n v="3"/>
    <n v="0.2"/>
    <n v="17.959199999999999"/>
  </r>
  <r>
    <n v="99"/>
    <s v="CA-2016-149223"/>
    <d v="2016-09-06T00:00:00"/>
    <d v="2016-09-11T00:00:00"/>
    <x v="8"/>
    <x v="0"/>
    <s v="Standard Class"/>
    <s v="ER-13855"/>
    <x v="45"/>
    <s v="Corporate"/>
    <s v="United States"/>
    <s v="Saint Paul"/>
    <x v="11"/>
    <n v="55106"/>
    <s v="Central"/>
    <s v="OFF-AP-10000358"/>
    <x v="1"/>
    <x v="9"/>
    <s v="Fellowes Basic Home/Office Series Surge Protectors"/>
    <n v="77.88"/>
    <n v="6"/>
    <n v="0"/>
    <n v="22.5852"/>
  </r>
  <r>
    <n v="100"/>
    <s v="CA-2016-158568"/>
    <d v="2016-08-29T00:00:00"/>
    <d v="2016-09-02T00:00:00"/>
    <x v="6"/>
    <x v="0"/>
    <s v="Standard Class"/>
    <s v="RB-19465"/>
    <x v="46"/>
    <s v="Home Office"/>
    <s v="United States"/>
    <s v="Chicago"/>
    <x v="10"/>
    <n v="60610"/>
    <s v="Central"/>
    <s v="OFF-PA-10003256"/>
    <x v="1"/>
    <x v="10"/>
    <s v="Avery Personal Creations Heavyweight Cards"/>
    <n v="64.623999999999995"/>
    <n v="7"/>
    <n v="0.2"/>
    <n v="22.618400000000001"/>
  </r>
  <r>
    <n v="101"/>
    <s v="CA-2016-158568"/>
    <d v="2016-08-29T00:00:00"/>
    <d v="2016-09-02T00:00:00"/>
    <x v="6"/>
    <x v="0"/>
    <s v="Standard Class"/>
    <s v="RB-19465"/>
    <x v="46"/>
    <s v="Home Office"/>
    <s v="United States"/>
    <s v="Chicago"/>
    <x v="10"/>
    <n v="60610"/>
    <s v="Central"/>
    <s v="TEC-AC-10001767"/>
    <x v="2"/>
    <x v="11"/>
    <s v="SanDisk Ultra 64 GB MicroSDHC Class 10 Memory Card"/>
    <n v="95.975999999999999"/>
    <n v="3"/>
    <n v="0.2"/>
    <n v="-10.7973"/>
  </r>
  <r>
    <n v="102"/>
    <s v="CA-2016-158568"/>
    <d v="2016-08-29T00:00:00"/>
    <d v="2016-09-02T00:00:00"/>
    <x v="6"/>
    <x v="0"/>
    <s v="Standard Class"/>
    <s v="RB-19465"/>
    <x v="46"/>
    <s v="Home Office"/>
    <s v="United States"/>
    <s v="Chicago"/>
    <x v="10"/>
    <n v="60610"/>
    <s v="Central"/>
    <s v="OFF-BI-10002609"/>
    <x v="1"/>
    <x v="8"/>
    <s v="Avery Hidden Tab Dividers for Binding Systems"/>
    <n v="1.788"/>
    <n v="3"/>
    <n v="0.8"/>
    <n v="-3.0396000000000001"/>
  </r>
  <r>
    <n v="103"/>
    <s v="CA-2016-129903"/>
    <d v="2016-12-01T00:00:00"/>
    <d v="2016-12-04T00:00:00"/>
    <x v="4"/>
    <x v="0"/>
    <s v="Second Class"/>
    <s v="GZ-14470"/>
    <x v="47"/>
    <s v="Consumer"/>
    <s v="United States"/>
    <s v="Rochester"/>
    <x v="11"/>
    <n v="55901"/>
    <s v="Central"/>
    <s v="OFF-PA-10004040"/>
    <x v="1"/>
    <x v="10"/>
    <s v="Universal Premium White Copier/Laser Paper (20Lb. and 87 Bright)"/>
    <n v="23.92"/>
    <n v="4"/>
    <n v="0"/>
    <n v="11.720800000000001"/>
  </r>
  <r>
    <n v="104"/>
    <s v="US-2015-156867"/>
    <d v="2015-11-13T00:00:00"/>
    <d v="2015-11-17T00:00:00"/>
    <x v="0"/>
    <x v="1"/>
    <s v="Standard Class"/>
    <s v="LC-16870"/>
    <x v="48"/>
    <s v="Consumer"/>
    <s v="United States"/>
    <s v="Aurora"/>
    <x v="22"/>
    <n v="80013"/>
    <s v="West"/>
    <s v="TEC-AC-10001552"/>
    <x v="2"/>
    <x v="11"/>
    <s v="Logitech K350 2.4Ghz Wireless Keyboard"/>
    <n v="238.89599999999999"/>
    <n v="6"/>
    <n v="0.2"/>
    <n v="-26.875800000000002"/>
  </r>
  <r>
    <n v="105"/>
    <s v="US-2015-156867"/>
    <d v="2015-11-13T00:00:00"/>
    <d v="2015-11-17T00:00:00"/>
    <x v="0"/>
    <x v="1"/>
    <s v="Standard Class"/>
    <s v="LC-16870"/>
    <x v="48"/>
    <s v="Consumer"/>
    <s v="United States"/>
    <s v="Aurora"/>
    <x v="22"/>
    <n v="80013"/>
    <s v="West"/>
    <s v="FUR-FU-10004006"/>
    <x v="0"/>
    <x v="5"/>
    <s v="Deflect-o DuraMat Lighweight, Studded, Beveled Mat for Low Pile Carpeting"/>
    <n v="102.36"/>
    <n v="3"/>
    <n v="0.2"/>
    <n v="-3.8384999999999998"/>
  </r>
  <r>
    <n v="106"/>
    <s v="US-2015-156867"/>
    <d v="2015-11-13T00:00:00"/>
    <d v="2015-11-17T00:00:00"/>
    <x v="0"/>
    <x v="1"/>
    <s v="Standard Class"/>
    <s v="LC-16870"/>
    <x v="48"/>
    <s v="Consumer"/>
    <s v="United States"/>
    <s v="Aurora"/>
    <x v="22"/>
    <n v="80013"/>
    <s v="West"/>
    <s v="OFF-BI-10002794"/>
    <x v="1"/>
    <x v="8"/>
    <s v="Avery Trapezoid Ring Binder, 3&quot; Capacity, Black, 1040 sheets"/>
    <n v="36.881999999999998"/>
    <n v="3"/>
    <n v="0.7"/>
    <n v="-25.817399999999999"/>
  </r>
  <r>
    <n v="107"/>
    <s v="CA-2017-119004"/>
    <d v="2017-11-23T00:00:00"/>
    <d v="2017-11-28T00:00:00"/>
    <x v="0"/>
    <x v="3"/>
    <s v="Standard Class"/>
    <s v="JM-15250"/>
    <x v="49"/>
    <s v="Consumer"/>
    <s v="United States"/>
    <s v="Charlotte"/>
    <x v="3"/>
    <n v="28205"/>
    <s v="South"/>
    <s v="TEC-AC-10003499"/>
    <x v="2"/>
    <x v="11"/>
    <s v="Memorex Mini Travel Drive 8 GB USB 2.0 Flash Drive"/>
    <n v="74.111999999999995"/>
    <n v="8"/>
    <n v="0.2"/>
    <n v="17.601600000000001"/>
  </r>
  <r>
    <n v="108"/>
    <s v="CA-2017-119004"/>
    <d v="2017-11-23T00:00:00"/>
    <d v="2017-11-28T00:00:00"/>
    <x v="0"/>
    <x v="3"/>
    <s v="Standard Class"/>
    <s v="JM-15250"/>
    <x v="49"/>
    <s v="Consumer"/>
    <s v="United States"/>
    <s v="Charlotte"/>
    <x v="3"/>
    <n v="28205"/>
    <s v="South"/>
    <s v="TEC-PH-10002844"/>
    <x v="2"/>
    <x v="7"/>
    <s v="Speck Products Candyshell Flip Case"/>
    <n v="27.992000000000001"/>
    <n v="1"/>
    <n v="0.2"/>
    <n v="2.0994000000000002"/>
  </r>
  <r>
    <n v="109"/>
    <s v="CA-2017-119004"/>
    <d v="2017-11-23T00:00:00"/>
    <d v="2017-11-28T00:00:00"/>
    <x v="0"/>
    <x v="3"/>
    <s v="Standard Class"/>
    <s v="JM-15250"/>
    <x v="49"/>
    <s v="Consumer"/>
    <s v="United States"/>
    <s v="Charlotte"/>
    <x v="3"/>
    <n v="28205"/>
    <s v="South"/>
    <s v="OFF-AR-10000390"/>
    <x v="1"/>
    <x v="6"/>
    <s v="Newell Chalk Holder"/>
    <n v="3.3039999999999998"/>
    <n v="1"/>
    <n v="0.2"/>
    <n v="1.0738000000000001"/>
  </r>
  <r>
    <n v="110"/>
    <s v="CA-2015-129476"/>
    <d v="2015-10-15T00:00:00"/>
    <d v="2015-10-20T00:00:00"/>
    <x v="2"/>
    <x v="1"/>
    <s v="Standard Class"/>
    <s v="PA-19060"/>
    <x v="50"/>
    <s v="Home Office"/>
    <s v="United States"/>
    <s v="Orland Park"/>
    <x v="10"/>
    <n v="60462"/>
    <s v="Central"/>
    <s v="TEC-AC-10000844"/>
    <x v="2"/>
    <x v="11"/>
    <s v="Logitech Gaming G510s - Keyboard"/>
    <n v="339.96"/>
    <n v="5"/>
    <n v="0.2"/>
    <n v="67.992000000000004"/>
  </r>
  <r>
    <n v="111"/>
    <s v="CA-2017-146780"/>
    <d v="2017-12-25T00:00:00"/>
    <d v="2017-12-30T00:00:00"/>
    <x v="4"/>
    <x v="3"/>
    <s v="Standard Class"/>
    <s v="CV-12805"/>
    <x v="51"/>
    <s v="Corporate"/>
    <s v="United States"/>
    <s v="New York City"/>
    <x v="15"/>
    <n v="10035"/>
    <s v="East"/>
    <s v="FUR-FU-10001934"/>
    <x v="0"/>
    <x v="5"/>
    <s v="Magnifier Swing Arm Lamp"/>
    <n v="41.96"/>
    <n v="2"/>
    <n v="0"/>
    <n v="10.909599999999999"/>
  </r>
  <r>
    <n v="112"/>
    <s v="CA-2016-128867"/>
    <d v="2016-11-03T00:00:00"/>
    <d v="2016-11-10T00:00:00"/>
    <x v="0"/>
    <x v="0"/>
    <s v="Standard Class"/>
    <s v="CL-12565"/>
    <x v="52"/>
    <s v="Consumer"/>
    <s v="United States"/>
    <s v="Urbandale"/>
    <x v="23"/>
    <n v="50322"/>
    <s v="Central"/>
    <s v="OFF-AR-10000380"/>
    <x v="1"/>
    <x v="6"/>
    <s v="Hunt PowerHouse Electric Pencil Sharpener, Blue"/>
    <n v="75.959999999999994"/>
    <n v="2"/>
    <n v="0"/>
    <n v="22.788"/>
  </r>
  <r>
    <n v="113"/>
    <s v="CA-2016-128867"/>
    <d v="2016-11-03T00:00:00"/>
    <d v="2016-11-10T00:00:00"/>
    <x v="0"/>
    <x v="0"/>
    <s v="Standard Class"/>
    <s v="CL-12565"/>
    <x v="52"/>
    <s v="Consumer"/>
    <s v="United States"/>
    <s v="Urbandale"/>
    <x v="23"/>
    <n v="50322"/>
    <s v="Central"/>
    <s v="OFF-BI-10003981"/>
    <x v="1"/>
    <x v="8"/>
    <s v="Avery Durable Plastic 1&quot; Binders"/>
    <n v="27.24"/>
    <n v="6"/>
    <n v="0"/>
    <n v="13.3476"/>
  </r>
  <r>
    <n v="114"/>
    <s v="CA-2014-115259"/>
    <d v="2014-08-25T00:00:00"/>
    <d v="2014-08-27T00:00:00"/>
    <x v="6"/>
    <x v="2"/>
    <s v="Second Class"/>
    <s v="RC-19960"/>
    <x v="53"/>
    <s v="Consumer"/>
    <s v="United States"/>
    <s v="Columbus"/>
    <x v="24"/>
    <n v="43229"/>
    <s v="East"/>
    <s v="OFF-FA-10000621"/>
    <x v="1"/>
    <x v="13"/>
    <s v="OIC Colored Binder Clips, Assorted Sizes"/>
    <n v="40.095999999999997"/>
    <n v="14"/>
    <n v="0.2"/>
    <n v="14.534800000000001"/>
  </r>
  <r>
    <n v="115"/>
    <s v="CA-2014-115259"/>
    <d v="2014-08-25T00:00:00"/>
    <d v="2014-08-27T00:00:00"/>
    <x v="6"/>
    <x v="2"/>
    <s v="Second Class"/>
    <s v="RC-19960"/>
    <x v="53"/>
    <s v="Consumer"/>
    <s v="United States"/>
    <s v="Columbus"/>
    <x v="24"/>
    <n v="43229"/>
    <s v="East"/>
    <s v="OFF-EN-10002600"/>
    <x v="1"/>
    <x v="12"/>
    <s v="Redi-Strip #10 Envelopes, 4 1/8 x 9 1/2"/>
    <n v="4.72"/>
    <n v="2"/>
    <n v="0.2"/>
    <n v="1.6519999999999999"/>
  </r>
  <r>
    <n v="116"/>
    <s v="CA-2014-115259"/>
    <d v="2014-08-25T00:00:00"/>
    <d v="2014-08-27T00:00:00"/>
    <x v="6"/>
    <x v="2"/>
    <s v="Second Class"/>
    <s v="RC-19960"/>
    <x v="53"/>
    <s v="Consumer"/>
    <s v="United States"/>
    <s v="Columbus"/>
    <x v="24"/>
    <n v="43229"/>
    <s v="East"/>
    <s v="OFF-PA-10004965"/>
    <x v="1"/>
    <x v="10"/>
    <s v="Xerox 1921"/>
    <n v="23.975999999999999"/>
    <n v="3"/>
    <n v="0.2"/>
    <n v="7.4924999999999997"/>
  </r>
  <r>
    <n v="117"/>
    <s v="CA-2014-115259"/>
    <d v="2014-08-25T00:00:00"/>
    <d v="2014-08-27T00:00:00"/>
    <x v="6"/>
    <x v="2"/>
    <s v="Second Class"/>
    <s v="RC-19960"/>
    <x v="53"/>
    <s v="Consumer"/>
    <s v="United States"/>
    <s v="Columbus"/>
    <x v="24"/>
    <n v="43229"/>
    <s v="East"/>
    <s v="OFF-EN-10002504"/>
    <x v="1"/>
    <x v="12"/>
    <s v="Tyvek  Top-Opening Peel &amp; Seel Envelopes, Plain White"/>
    <n v="130.464"/>
    <n v="6"/>
    <n v="0.2"/>
    <n v="44.031599999999997"/>
  </r>
  <r>
    <n v="118"/>
    <s v="CA-2015-110457"/>
    <d v="2015-03-02T00:00:00"/>
    <d v="2015-03-06T00:00:00"/>
    <x v="10"/>
    <x v="1"/>
    <s v="Standard Class"/>
    <s v="DK-13090"/>
    <x v="54"/>
    <s v="Consumer"/>
    <s v="United States"/>
    <s v="Seattle"/>
    <x v="4"/>
    <n v="98103"/>
    <s v="West"/>
    <s v="FUR-TA-10001768"/>
    <x v="0"/>
    <x v="3"/>
    <s v="Hon Racetrack Conference Tables"/>
    <n v="787.53"/>
    <n v="3"/>
    <n v="0"/>
    <n v="165.38130000000001"/>
  </r>
  <r>
    <n v="119"/>
    <s v="US-2015-136476"/>
    <d v="2015-04-05T00:00:00"/>
    <d v="2015-04-10T00:00:00"/>
    <x v="3"/>
    <x v="1"/>
    <s v="Standard Class"/>
    <s v="GG-14650"/>
    <x v="55"/>
    <s v="Corporate"/>
    <s v="United States"/>
    <s v="Bristol"/>
    <x v="18"/>
    <n v="37620"/>
    <s v="South"/>
    <s v="OFF-BI-10003650"/>
    <x v="1"/>
    <x v="8"/>
    <s v="GBC DocuBind 300 Electric Binding Machine"/>
    <n v="157.79400000000001"/>
    <n v="1"/>
    <n v="0.7"/>
    <n v="-115.71559999999999"/>
  </r>
  <r>
    <n v="120"/>
    <s v="CA-2016-103730"/>
    <d v="2016-06-12T00:00:00"/>
    <d v="2016-06-15T00:00:00"/>
    <x v="1"/>
    <x v="0"/>
    <s v="First Class"/>
    <s v="SC-20725"/>
    <x v="56"/>
    <s v="Consumer"/>
    <s v="United States"/>
    <s v="Wilmington"/>
    <x v="13"/>
    <n v="19805"/>
    <s v="East"/>
    <s v="FUR-FU-10002157"/>
    <x v="0"/>
    <x v="5"/>
    <s v="Artistic Insta-Plaque"/>
    <n v="47.04"/>
    <n v="3"/>
    <n v="0"/>
    <n v="18.345600000000001"/>
  </r>
  <r>
    <n v="121"/>
    <s v="CA-2016-103730"/>
    <d v="2016-06-12T00:00:00"/>
    <d v="2016-06-15T00:00:00"/>
    <x v="1"/>
    <x v="0"/>
    <s v="First Class"/>
    <s v="SC-20725"/>
    <x v="56"/>
    <s v="Consumer"/>
    <s v="United States"/>
    <s v="Wilmington"/>
    <x v="13"/>
    <n v="19805"/>
    <s v="East"/>
    <s v="OFF-BI-10003910"/>
    <x v="1"/>
    <x v="8"/>
    <s v="DXL Angle-View Binders with Locking Rings by Samsill"/>
    <n v="30.84"/>
    <n v="4"/>
    <n v="0"/>
    <n v="13.878"/>
  </r>
  <r>
    <n v="122"/>
    <s v="CA-2016-103730"/>
    <d v="2016-06-12T00:00:00"/>
    <d v="2016-06-15T00:00:00"/>
    <x v="1"/>
    <x v="0"/>
    <s v="First Class"/>
    <s v="SC-20725"/>
    <x v="56"/>
    <s v="Consumer"/>
    <s v="United States"/>
    <s v="Wilmington"/>
    <x v="13"/>
    <n v="19805"/>
    <s v="East"/>
    <s v="OFF-ST-10000777"/>
    <x v="1"/>
    <x v="4"/>
    <s v="Companion Letter/Legal File, Black"/>
    <n v="226.56"/>
    <n v="6"/>
    <n v="0"/>
    <n v="63.436799999999998"/>
  </r>
  <r>
    <n v="123"/>
    <s v="CA-2016-103730"/>
    <d v="2016-06-12T00:00:00"/>
    <d v="2016-06-15T00:00:00"/>
    <x v="1"/>
    <x v="0"/>
    <s v="First Class"/>
    <s v="SC-20725"/>
    <x v="56"/>
    <s v="Consumer"/>
    <s v="United States"/>
    <s v="Wilmington"/>
    <x v="13"/>
    <n v="19805"/>
    <s v="East"/>
    <s v="OFF-EN-10002500"/>
    <x v="1"/>
    <x v="12"/>
    <s v="Globe Weis Peel &amp; Seel First Class Envelopes"/>
    <n v="115.02"/>
    <n v="9"/>
    <n v="0"/>
    <n v="51.759"/>
  </r>
  <r>
    <n v="124"/>
    <s v="CA-2016-103730"/>
    <d v="2016-06-12T00:00:00"/>
    <d v="2016-06-15T00:00:00"/>
    <x v="1"/>
    <x v="0"/>
    <s v="First Class"/>
    <s v="SC-20725"/>
    <x v="56"/>
    <s v="Consumer"/>
    <s v="United States"/>
    <s v="Wilmington"/>
    <x v="13"/>
    <n v="19805"/>
    <s v="East"/>
    <s v="TEC-PH-10003875"/>
    <x v="2"/>
    <x v="7"/>
    <s v="KLD Oscar II Style Snap-on Ultra Thin Side Flip Synthetic Leather Cover Case for HTC One HTC M7"/>
    <n v="68.040000000000006"/>
    <n v="7"/>
    <n v="0"/>
    <n v="19.7316"/>
  </r>
  <r>
    <n v="125"/>
    <s v="US-2014-152030"/>
    <d v="2014-12-26T00:00:00"/>
    <d v="2014-12-28T00:00:00"/>
    <x v="4"/>
    <x v="2"/>
    <s v="Second Class"/>
    <s v="AD-10180"/>
    <x v="57"/>
    <s v="Home Office"/>
    <s v="United States"/>
    <s v="Houston"/>
    <x v="5"/>
    <n v="77041"/>
    <s v="Central"/>
    <s v="FUR-CH-10004063"/>
    <x v="0"/>
    <x v="1"/>
    <s v="Global Deluxe High-Back Manager's Chair"/>
    <n v="600.55799999999999"/>
    <n v="3"/>
    <n v="0.3"/>
    <n v="-8.5793999999999997"/>
  </r>
  <r>
    <n v="126"/>
    <s v="US-2014-134614"/>
    <d v="2014-09-20T00:00:00"/>
    <d v="2014-09-25T00:00:00"/>
    <x v="8"/>
    <x v="2"/>
    <s v="Standard Class"/>
    <s v="PF-19165"/>
    <x v="58"/>
    <s v="Consumer"/>
    <s v="United States"/>
    <s v="Bloomington"/>
    <x v="10"/>
    <n v="61701"/>
    <s v="Central"/>
    <s v="FUR-TA-10004534"/>
    <x v="0"/>
    <x v="3"/>
    <s v="Bevis 44 x 96 Conference Tables"/>
    <n v="617.70000000000005"/>
    <n v="6"/>
    <n v="0.5"/>
    <n v="-407.68200000000002"/>
  </r>
  <r>
    <n v="127"/>
    <s v="US-2017-107272"/>
    <d v="2017-11-05T00:00:00"/>
    <d v="2017-11-12T00:00:00"/>
    <x v="0"/>
    <x v="3"/>
    <s v="Standard Class"/>
    <s v="TS-21610"/>
    <x v="59"/>
    <s v="Consumer"/>
    <s v="United States"/>
    <s v="Phoenix"/>
    <x v="16"/>
    <n v="85023"/>
    <s v="West"/>
    <s v="OFF-BI-10003274"/>
    <x v="1"/>
    <x v="8"/>
    <s v="Avery Durable Slant Ring Binders, No Labels"/>
    <n v="2.3879999999999999"/>
    <n v="2"/>
    <n v="0.7"/>
    <n v="-1.8308"/>
  </r>
  <r>
    <n v="128"/>
    <s v="US-2017-107272"/>
    <d v="2017-11-05T00:00:00"/>
    <d v="2017-11-12T00:00:00"/>
    <x v="0"/>
    <x v="3"/>
    <s v="Standard Class"/>
    <s v="TS-21610"/>
    <x v="59"/>
    <s v="Consumer"/>
    <s v="United States"/>
    <s v="Phoenix"/>
    <x v="16"/>
    <n v="85023"/>
    <s v="West"/>
    <s v="OFF-ST-10002974"/>
    <x v="1"/>
    <x v="4"/>
    <s v="Trav-L-File Heavy-Duty Shuttle II, Black"/>
    <n v="243.99199999999999"/>
    <n v="7"/>
    <n v="0.2"/>
    <n v="30.498999999999999"/>
  </r>
  <r>
    <n v="129"/>
    <s v="US-2016-125969"/>
    <d v="2016-11-06T00:00:00"/>
    <d v="2016-11-10T00:00:00"/>
    <x v="0"/>
    <x v="0"/>
    <s v="Second Class"/>
    <s v="LS-16975"/>
    <x v="60"/>
    <s v="Home Office"/>
    <s v="United States"/>
    <s v="Los Angeles"/>
    <x v="1"/>
    <n v="90004"/>
    <s v="West"/>
    <s v="FUR-CH-10001146"/>
    <x v="0"/>
    <x v="1"/>
    <s v="Global Task Chair, Black"/>
    <n v="81.424000000000007"/>
    <n v="2"/>
    <n v="0.2"/>
    <n v="-9.1601999999999997"/>
  </r>
  <r>
    <n v="130"/>
    <s v="US-2016-125969"/>
    <d v="2016-11-06T00:00:00"/>
    <d v="2016-11-10T00:00:00"/>
    <x v="0"/>
    <x v="0"/>
    <s v="Second Class"/>
    <s v="LS-16975"/>
    <x v="60"/>
    <s v="Home Office"/>
    <s v="United States"/>
    <s v="Los Angeles"/>
    <x v="1"/>
    <n v="90004"/>
    <s v="West"/>
    <s v="FUR-FU-10003773"/>
    <x v="0"/>
    <x v="5"/>
    <s v="Eldon Cleatmat Plus Chair Mats for High Pile Carpets"/>
    <n v="238.56"/>
    <n v="3"/>
    <n v="0"/>
    <n v="26.241599999999998"/>
  </r>
  <r>
    <n v="131"/>
    <s v="US-2017-164147"/>
    <d v="2017-02-02T00:00:00"/>
    <d v="2017-02-05T00:00:00"/>
    <x v="11"/>
    <x v="3"/>
    <s v="First Class"/>
    <s v="DW-13585"/>
    <x v="61"/>
    <s v="Corporate"/>
    <s v="United States"/>
    <s v="Columbus"/>
    <x v="24"/>
    <n v="43229"/>
    <s v="East"/>
    <s v="TEC-PH-10002293"/>
    <x v="2"/>
    <x v="7"/>
    <s v="Anker 36W 4-Port USB Wall Charger Travel Power Adapter for iPhone 5s 5c 5"/>
    <n v="59.97"/>
    <n v="5"/>
    <n v="0.4"/>
    <n v="-11.994"/>
  </r>
  <r>
    <n v="132"/>
    <s v="US-2017-164147"/>
    <d v="2017-02-02T00:00:00"/>
    <d v="2017-02-05T00:00:00"/>
    <x v="11"/>
    <x v="3"/>
    <s v="First Class"/>
    <s v="DW-13585"/>
    <x v="61"/>
    <s v="Corporate"/>
    <s v="United States"/>
    <s v="Columbus"/>
    <x v="24"/>
    <n v="43229"/>
    <s v="East"/>
    <s v="OFF-PA-10002377"/>
    <x v="1"/>
    <x v="10"/>
    <s v="Xerox 1916"/>
    <n v="78.304000000000002"/>
    <n v="2"/>
    <n v="0.2"/>
    <n v="29.364000000000001"/>
  </r>
  <r>
    <n v="133"/>
    <s v="US-2017-164147"/>
    <d v="2017-02-02T00:00:00"/>
    <d v="2017-02-05T00:00:00"/>
    <x v="11"/>
    <x v="3"/>
    <s v="First Class"/>
    <s v="DW-13585"/>
    <x v="61"/>
    <s v="Corporate"/>
    <s v="United States"/>
    <s v="Columbus"/>
    <x v="24"/>
    <n v="43229"/>
    <s v="East"/>
    <s v="OFF-FA-10002780"/>
    <x v="1"/>
    <x v="13"/>
    <s v="Staples"/>
    <n v="21.456"/>
    <n v="9"/>
    <n v="0.2"/>
    <n v="6.9732000000000003"/>
  </r>
  <r>
    <n v="134"/>
    <s v="CA-2016-145583"/>
    <d v="2016-10-13T00:00:00"/>
    <d v="2016-10-19T00:00:00"/>
    <x v="2"/>
    <x v="0"/>
    <s v="Standard Class"/>
    <s v="LC-16885"/>
    <x v="62"/>
    <s v="Consumer"/>
    <s v="United States"/>
    <s v="Roseville"/>
    <x v="1"/>
    <n v="95661"/>
    <s v="West"/>
    <s v="OFF-PA-10001804"/>
    <x v="1"/>
    <x v="10"/>
    <s v="Xerox 195"/>
    <n v="20.04"/>
    <n v="3"/>
    <n v="0"/>
    <n v="9.6191999999999993"/>
  </r>
  <r>
    <n v="135"/>
    <s v="CA-2016-145583"/>
    <d v="2016-10-13T00:00:00"/>
    <d v="2016-10-19T00:00:00"/>
    <x v="2"/>
    <x v="0"/>
    <s v="Standard Class"/>
    <s v="LC-16885"/>
    <x v="62"/>
    <s v="Consumer"/>
    <s v="United States"/>
    <s v="Roseville"/>
    <x v="1"/>
    <n v="95661"/>
    <s v="West"/>
    <s v="OFF-PA-10001736"/>
    <x v="1"/>
    <x v="10"/>
    <s v="Xerox 1880"/>
    <n v="35.44"/>
    <n v="1"/>
    <n v="0"/>
    <n v="16.6568"/>
  </r>
  <r>
    <n v="136"/>
    <s v="CA-2016-145583"/>
    <d v="2016-10-13T00:00:00"/>
    <d v="2016-10-19T00:00:00"/>
    <x v="2"/>
    <x v="0"/>
    <s v="Standard Class"/>
    <s v="LC-16885"/>
    <x v="62"/>
    <s v="Consumer"/>
    <s v="United States"/>
    <s v="Roseville"/>
    <x v="1"/>
    <n v="95661"/>
    <s v="West"/>
    <s v="OFF-AR-10001149"/>
    <x v="1"/>
    <x v="6"/>
    <s v="Sanford Colorific Colored Pencils, 12/Box"/>
    <n v="11.52"/>
    <n v="4"/>
    <n v="0"/>
    <n v="3.456"/>
  </r>
  <r>
    <n v="137"/>
    <s v="CA-2016-145583"/>
    <d v="2016-10-13T00:00:00"/>
    <d v="2016-10-19T00:00:00"/>
    <x v="2"/>
    <x v="0"/>
    <s v="Standard Class"/>
    <s v="LC-16885"/>
    <x v="62"/>
    <s v="Consumer"/>
    <s v="United States"/>
    <s v="Roseville"/>
    <x v="1"/>
    <n v="95661"/>
    <s v="West"/>
    <s v="OFF-FA-10002988"/>
    <x v="1"/>
    <x v="13"/>
    <s v="Ideal Clamps"/>
    <n v="4.0199999999999996"/>
    <n v="2"/>
    <n v="0"/>
    <n v="1.9698"/>
  </r>
  <r>
    <n v="138"/>
    <s v="CA-2016-145583"/>
    <d v="2016-10-13T00:00:00"/>
    <d v="2016-10-19T00:00:00"/>
    <x v="2"/>
    <x v="0"/>
    <s v="Standard Class"/>
    <s v="LC-16885"/>
    <x v="62"/>
    <s v="Consumer"/>
    <s v="United States"/>
    <s v="Roseville"/>
    <x v="1"/>
    <n v="95661"/>
    <s v="West"/>
    <s v="OFF-BI-10004781"/>
    <x v="1"/>
    <x v="8"/>
    <s v="GBC Wire Binding Strips"/>
    <n v="76.176000000000002"/>
    <n v="3"/>
    <n v="0.2"/>
    <n v="26.6616"/>
  </r>
  <r>
    <n v="139"/>
    <s v="CA-2016-145583"/>
    <d v="2016-10-13T00:00:00"/>
    <d v="2016-10-19T00:00:00"/>
    <x v="2"/>
    <x v="0"/>
    <s v="Standard Class"/>
    <s v="LC-16885"/>
    <x v="62"/>
    <s v="Consumer"/>
    <s v="United States"/>
    <s v="Roseville"/>
    <x v="1"/>
    <n v="95661"/>
    <s v="West"/>
    <s v="OFF-SU-10001218"/>
    <x v="1"/>
    <x v="14"/>
    <s v="Fiskars Softgrip Scissors"/>
    <n v="65.88"/>
    <n v="6"/>
    <n v="0"/>
    <n v="18.446400000000001"/>
  </r>
  <r>
    <n v="140"/>
    <s v="CA-2016-145583"/>
    <d v="2016-10-13T00:00:00"/>
    <d v="2016-10-19T00:00:00"/>
    <x v="2"/>
    <x v="0"/>
    <s v="Standard Class"/>
    <s v="LC-16885"/>
    <x v="62"/>
    <s v="Consumer"/>
    <s v="United States"/>
    <s v="Roseville"/>
    <x v="1"/>
    <n v="95661"/>
    <s v="West"/>
    <s v="FUR-FU-10001706"/>
    <x v="0"/>
    <x v="5"/>
    <s v="Longer-Life Soft White Bulbs"/>
    <n v="43.12"/>
    <n v="14"/>
    <n v="0"/>
    <n v="20.697600000000001"/>
  </r>
  <r>
    <n v="141"/>
    <s v="CA-2016-110366"/>
    <d v="2016-09-05T00:00:00"/>
    <d v="2016-09-07T00:00:00"/>
    <x v="8"/>
    <x v="0"/>
    <s v="Second Class"/>
    <s v="JD-15895"/>
    <x v="63"/>
    <s v="Corporate"/>
    <s v="United States"/>
    <s v="Philadelphia"/>
    <x v="9"/>
    <n v="19140"/>
    <s v="East"/>
    <s v="FUR-FU-10004848"/>
    <x v="0"/>
    <x v="5"/>
    <s v="Howard Miller 13-3/4&quot; Diameter Brushed Chrome Round Wall Clock"/>
    <n v="82.8"/>
    <n v="2"/>
    <n v="0.2"/>
    <n v="10.35"/>
  </r>
  <r>
    <n v="142"/>
    <s v="CA-2017-106180"/>
    <d v="2017-09-18T00:00:00"/>
    <d v="2017-09-23T00:00:00"/>
    <x v="8"/>
    <x v="3"/>
    <s v="Standard Class"/>
    <s v="SH-19975"/>
    <x v="64"/>
    <s v="Corporate"/>
    <s v="United States"/>
    <s v="San Francisco"/>
    <x v="1"/>
    <n v="94122"/>
    <s v="West"/>
    <s v="OFF-AR-10000940"/>
    <x v="1"/>
    <x v="6"/>
    <s v="Newell 343"/>
    <n v="8.82"/>
    <n v="3"/>
    <n v="0"/>
    <n v="2.3814000000000002"/>
  </r>
  <r>
    <n v="143"/>
    <s v="CA-2017-106180"/>
    <d v="2017-09-18T00:00:00"/>
    <d v="2017-09-23T00:00:00"/>
    <x v="8"/>
    <x v="3"/>
    <s v="Standard Class"/>
    <s v="SH-19975"/>
    <x v="64"/>
    <s v="Corporate"/>
    <s v="United States"/>
    <s v="San Francisco"/>
    <x v="1"/>
    <n v="94122"/>
    <s v="West"/>
    <s v="OFF-EN-10004030"/>
    <x v="1"/>
    <x v="12"/>
    <s v="Convenience Packs of Business Envelopes"/>
    <n v="10.86"/>
    <n v="3"/>
    <n v="0"/>
    <n v="5.1041999999999996"/>
  </r>
  <r>
    <n v="144"/>
    <s v="CA-2017-106180"/>
    <d v="2017-09-18T00:00:00"/>
    <d v="2017-09-23T00:00:00"/>
    <x v="8"/>
    <x v="3"/>
    <s v="Standard Class"/>
    <s v="SH-19975"/>
    <x v="64"/>
    <s v="Corporate"/>
    <s v="United States"/>
    <s v="San Francisco"/>
    <x v="1"/>
    <n v="94122"/>
    <s v="West"/>
    <s v="OFF-PA-10004327"/>
    <x v="1"/>
    <x v="10"/>
    <s v="Xerox 1911"/>
    <n v="143.69999999999999"/>
    <n v="3"/>
    <n v="0"/>
    <n v="68.975999999999999"/>
  </r>
  <r>
    <n v="145"/>
    <s v="CA-2017-155376"/>
    <d v="2017-12-22T00:00:00"/>
    <d v="2017-12-27T00:00:00"/>
    <x v="4"/>
    <x v="3"/>
    <s v="Standard Class"/>
    <s v="SG-20080"/>
    <x v="65"/>
    <s v="Consumer"/>
    <s v="United States"/>
    <s v="Independence"/>
    <x v="25"/>
    <n v="64055"/>
    <s v="Central"/>
    <s v="OFF-AP-10001058"/>
    <x v="1"/>
    <x v="9"/>
    <s v="Sanyo 2.5 Cubic Foot Mid-Size Office Refrigerators"/>
    <n v="839.43"/>
    <n v="3"/>
    <n v="0"/>
    <n v="218.2518"/>
  </r>
  <r>
    <n v="146"/>
    <s v="CA-2015-110744"/>
    <d v="2015-09-07T00:00:00"/>
    <d v="2015-09-12T00:00:00"/>
    <x v="8"/>
    <x v="1"/>
    <s v="Standard Class"/>
    <s v="HA-14920"/>
    <x v="66"/>
    <s v="Consumer"/>
    <s v="United States"/>
    <s v="Pasadena"/>
    <x v="1"/>
    <n v="91104"/>
    <s v="West"/>
    <s v="OFF-ST-10003656"/>
    <x v="1"/>
    <x v="4"/>
    <s v="Safco Industrial Wire Shelving"/>
    <n v="671.93"/>
    <n v="7"/>
    <n v="0"/>
    <n v="20.157900000000001"/>
  </r>
  <r>
    <n v="147"/>
    <s v="CA-2014-110072"/>
    <d v="2014-10-22T00:00:00"/>
    <d v="2014-10-28T00:00:00"/>
    <x v="2"/>
    <x v="2"/>
    <s v="Standard Class"/>
    <s v="MG-17680"/>
    <x v="67"/>
    <s v="Home Office"/>
    <s v="United States"/>
    <s v="Newark"/>
    <x v="24"/>
    <n v="43055"/>
    <s v="East"/>
    <s v="FUR-FU-10000521"/>
    <x v="0"/>
    <x v="5"/>
    <s v="Seth Thomas 14&quot; Putty-Colored Wall Clock"/>
    <n v="93.888000000000005"/>
    <n v="4"/>
    <n v="0.2"/>
    <n v="12.909599999999999"/>
  </r>
  <r>
    <n v="148"/>
    <s v="CA-2016-114489"/>
    <d v="2016-12-05T00:00:00"/>
    <d v="2016-12-09T00:00:00"/>
    <x v="4"/>
    <x v="0"/>
    <s v="Standard Class"/>
    <s v="JE-16165"/>
    <x v="68"/>
    <s v="Corporate"/>
    <s v="United States"/>
    <s v="Franklin"/>
    <x v="6"/>
    <n v="53132"/>
    <s v="Central"/>
    <s v="TEC-PH-10000215"/>
    <x v="2"/>
    <x v="7"/>
    <s v="Plantronics Cordless Phone Headset with In-line Volume - M214C"/>
    <n v="384.45"/>
    <n v="11"/>
    <n v="0"/>
    <n v="103.8015"/>
  </r>
  <r>
    <n v="149"/>
    <s v="CA-2016-114489"/>
    <d v="2016-12-05T00:00:00"/>
    <d v="2016-12-09T00:00:00"/>
    <x v="4"/>
    <x v="0"/>
    <s v="Standard Class"/>
    <s v="JE-16165"/>
    <x v="68"/>
    <s v="Corporate"/>
    <s v="United States"/>
    <s v="Franklin"/>
    <x v="6"/>
    <n v="53132"/>
    <s v="Central"/>
    <s v="TEC-PH-10001448"/>
    <x v="2"/>
    <x v="7"/>
    <s v="Anker Astro 15000mAh USB Portable Charger"/>
    <n v="149.97"/>
    <n v="3"/>
    <n v="0"/>
    <n v="5.9988000000000001"/>
  </r>
  <r>
    <n v="150"/>
    <s v="CA-2016-114489"/>
    <d v="2016-12-05T00:00:00"/>
    <d v="2016-12-09T00:00:00"/>
    <x v="4"/>
    <x v="0"/>
    <s v="Standard Class"/>
    <s v="JE-16165"/>
    <x v="68"/>
    <s v="Corporate"/>
    <s v="United States"/>
    <s v="Franklin"/>
    <x v="6"/>
    <n v="53132"/>
    <s v="Central"/>
    <s v="FUR-CH-10000454"/>
    <x v="0"/>
    <x v="1"/>
    <s v="Hon Deluxe Fabric Upholstered Stacking Chairs, Rounded Back"/>
    <n v="1951.84"/>
    <n v="8"/>
    <n v="0"/>
    <n v="585.55200000000002"/>
  </r>
  <r>
    <n v="151"/>
    <s v="CA-2016-114489"/>
    <d v="2016-12-05T00:00:00"/>
    <d v="2016-12-09T00:00:00"/>
    <x v="4"/>
    <x v="0"/>
    <s v="Standard Class"/>
    <s v="JE-16165"/>
    <x v="68"/>
    <s v="Corporate"/>
    <s v="United States"/>
    <s v="Franklin"/>
    <x v="6"/>
    <n v="53132"/>
    <s v="Central"/>
    <s v="OFF-BI-10002735"/>
    <x v="1"/>
    <x v="8"/>
    <s v="GBC Prestige Therm-A-Bind Covers"/>
    <n v="171.55"/>
    <n v="5"/>
    <n v="0"/>
    <n v="80.628500000000003"/>
  </r>
  <r>
    <n v="152"/>
    <s v="CA-2016-158834"/>
    <d v="2016-03-13T00:00:00"/>
    <d v="2016-03-16T00:00:00"/>
    <x v="10"/>
    <x v="0"/>
    <s v="First Class"/>
    <s v="TW-21025"/>
    <x v="69"/>
    <s v="Home Office"/>
    <s v="United States"/>
    <s v="Scottsdale"/>
    <x v="16"/>
    <n v="85254"/>
    <s v="West"/>
    <s v="OFF-AP-10000326"/>
    <x v="1"/>
    <x v="9"/>
    <s v="Belkin 7 Outlet SurgeMaster Surge Protector with Phone Protection"/>
    <n v="157.91999999999999"/>
    <n v="5"/>
    <n v="0.2"/>
    <n v="17.765999999999998"/>
  </r>
  <r>
    <n v="153"/>
    <s v="CA-2016-158834"/>
    <d v="2016-03-13T00:00:00"/>
    <d v="2016-03-16T00:00:00"/>
    <x v="10"/>
    <x v="0"/>
    <s v="First Class"/>
    <s v="TW-21025"/>
    <x v="69"/>
    <s v="Home Office"/>
    <s v="United States"/>
    <s v="Scottsdale"/>
    <x v="16"/>
    <n v="85254"/>
    <s v="West"/>
    <s v="TEC-PH-10001254"/>
    <x v="2"/>
    <x v="7"/>
    <s v="Jabra BIZ 2300 Duo QD Duo Corded Headset"/>
    <n v="203.184"/>
    <n v="2"/>
    <n v="0.2"/>
    <n v="15.238799999999999"/>
  </r>
  <r>
    <n v="154"/>
    <s v="CA-2015-124919"/>
    <d v="2015-05-31T00:00:00"/>
    <d v="2015-06-02T00:00:00"/>
    <x v="5"/>
    <x v="1"/>
    <s v="First Class"/>
    <s v="SP-20650"/>
    <x v="70"/>
    <s v="Corporate"/>
    <s v="United States"/>
    <s v="San Jose"/>
    <x v="1"/>
    <n v="95123"/>
    <s v="West"/>
    <s v="OFF-PA-10001950"/>
    <x v="1"/>
    <x v="10"/>
    <s v="Southworth 25% Cotton Antique Laid Paper &amp; Envelopes"/>
    <n v="58.38"/>
    <n v="7"/>
    <n v="0"/>
    <n v="26.271000000000001"/>
  </r>
  <r>
    <n v="155"/>
    <s v="CA-2015-124919"/>
    <d v="2015-05-31T00:00:00"/>
    <d v="2015-06-02T00:00:00"/>
    <x v="5"/>
    <x v="1"/>
    <s v="First Class"/>
    <s v="SP-20650"/>
    <x v="70"/>
    <s v="Corporate"/>
    <s v="United States"/>
    <s v="San Jose"/>
    <x v="1"/>
    <n v="95123"/>
    <s v="West"/>
    <s v="OFF-PA-10002254"/>
    <x v="1"/>
    <x v="10"/>
    <s v="Xerox 1883"/>
    <n v="105.52"/>
    <n v="4"/>
    <n v="0"/>
    <n v="48.539200000000001"/>
  </r>
  <r>
    <n v="156"/>
    <s v="CA-2015-124919"/>
    <d v="2015-05-31T00:00:00"/>
    <d v="2015-06-02T00:00:00"/>
    <x v="5"/>
    <x v="1"/>
    <s v="First Class"/>
    <s v="SP-20650"/>
    <x v="70"/>
    <s v="Corporate"/>
    <s v="United States"/>
    <s v="San Jose"/>
    <x v="1"/>
    <n v="95123"/>
    <s v="West"/>
    <s v="OFF-ST-10001590"/>
    <x v="1"/>
    <x v="4"/>
    <s v="Tenex Personal Project File with Scoop Front Design, Black"/>
    <n v="80.88"/>
    <n v="6"/>
    <n v="0"/>
    <n v="21.0288"/>
  </r>
  <r>
    <n v="157"/>
    <s v="CA-2015-118948"/>
    <d v="2015-05-28T00:00:00"/>
    <d v="2015-06-03T00:00:00"/>
    <x v="5"/>
    <x v="1"/>
    <s v="Standard Class"/>
    <s v="NK-18490"/>
    <x v="71"/>
    <s v="Home Office"/>
    <s v="United States"/>
    <s v="Seattle"/>
    <x v="4"/>
    <n v="98105"/>
    <s v="West"/>
    <s v="OFF-AR-10001547"/>
    <x v="1"/>
    <x v="6"/>
    <s v="Newell 311"/>
    <n v="6.63"/>
    <n v="3"/>
    <n v="0"/>
    <n v="1.7901"/>
  </r>
  <r>
    <n v="158"/>
    <s v="CA-2014-104269"/>
    <d v="2014-03-01T00:00:00"/>
    <d v="2014-03-06T00:00:00"/>
    <x v="10"/>
    <x v="2"/>
    <s v="Second Class"/>
    <s v="DB-13060"/>
    <x v="72"/>
    <s v="Consumer"/>
    <s v="United States"/>
    <s v="Seattle"/>
    <x v="4"/>
    <n v="98115"/>
    <s v="West"/>
    <s v="FUR-CH-10004063"/>
    <x v="0"/>
    <x v="1"/>
    <s v="Global Deluxe High-Back Manager's Chair"/>
    <n v="457.56799999999998"/>
    <n v="2"/>
    <n v="0.2"/>
    <n v="51.476399999999998"/>
  </r>
  <r>
    <n v="159"/>
    <s v="CA-2016-114104"/>
    <d v="2016-11-20T00:00:00"/>
    <d v="2016-11-24T00:00:00"/>
    <x v="0"/>
    <x v="0"/>
    <s v="Standard Class"/>
    <s v="NP-18670"/>
    <x v="73"/>
    <s v="Consumer"/>
    <s v="United States"/>
    <s v="Edmond"/>
    <x v="26"/>
    <n v="73034"/>
    <s v="Central"/>
    <s v="OFF-LA-10002475"/>
    <x v="1"/>
    <x v="2"/>
    <s v="Avery 519"/>
    <n v="14.62"/>
    <n v="2"/>
    <n v="0"/>
    <n v="6.8714000000000004"/>
  </r>
  <r>
    <n v="160"/>
    <s v="CA-2016-114104"/>
    <d v="2016-11-20T00:00:00"/>
    <d v="2016-11-24T00:00:00"/>
    <x v="0"/>
    <x v="0"/>
    <s v="Standard Class"/>
    <s v="NP-18670"/>
    <x v="73"/>
    <s v="Consumer"/>
    <s v="United States"/>
    <s v="Edmond"/>
    <x v="26"/>
    <n v="73034"/>
    <s v="Central"/>
    <s v="TEC-PH-10004536"/>
    <x v="2"/>
    <x v="7"/>
    <s v="Avaya 5420 Digital phone"/>
    <n v="944.93"/>
    <n v="7"/>
    <n v="0"/>
    <n v="236.23249999999999"/>
  </r>
  <r>
    <n v="161"/>
    <s v="CA-2016-162733"/>
    <d v="2016-05-11T00:00:00"/>
    <d v="2016-05-12T00:00:00"/>
    <x v="5"/>
    <x v="0"/>
    <s v="First Class"/>
    <s v="TT-21070"/>
    <x v="74"/>
    <s v="Consumer"/>
    <s v="United States"/>
    <s v="Los Angeles"/>
    <x v="1"/>
    <n v="90045"/>
    <s v="West"/>
    <s v="OFF-PA-10002751"/>
    <x v="1"/>
    <x v="10"/>
    <s v="Xerox 1920"/>
    <n v="5.98"/>
    <n v="1"/>
    <n v="0"/>
    <n v="2.6909999999999998"/>
  </r>
  <r>
    <n v="162"/>
    <s v="CA-2015-119697"/>
    <d v="2015-12-28T00:00:00"/>
    <d v="2015-12-31T00:00:00"/>
    <x v="4"/>
    <x v="1"/>
    <s v="Second Class"/>
    <s v="EM-13960"/>
    <x v="75"/>
    <s v="Consumer"/>
    <s v="United States"/>
    <s v="Philadelphia"/>
    <x v="9"/>
    <n v="19134"/>
    <s v="East"/>
    <s v="TEC-AC-10003657"/>
    <x v="2"/>
    <x v="11"/>
    <s v="Lenovo 17-Key USB Numeric Keypad"/>
    <n v="54.384"/>
    <n v="2"/>
    <n v="0.2"/>
    <n v="1.3595999999999999"/>
  </r>
  <r>
    <n v="163"/>
    <s v="CA-2016-154508"/>
    <d v="2016-11-16T00:00:00"/>
    <d v="2016-11-20T00:00:00"/>
    <x v="0"/>
    <x v="0"/>
    <s v="Standard Class"/>
    <s v="RD-19900"/>
    <x v="76"/>
    <s v="Consumer"/>
    <s v="United States"/>
    <s v="Carlsbad"/>
    <x v="27"/>
    <n v="88220"/>
    <s v="West"/>
    <s v="OFF-EN-10001990"/>
    <x v="1"/>
    <x v="12"/>
    <s v="Staple envelope"/>
    <n v="28.4"/>
    <n v="5"/>
    <n v="0"/>
    <n v="13.348000000000001"/>
  </r>
  <r>
    <n v="164"/>
    <s v="CA-2016-113817"/>
    <d v="2016-11-07T00:00:00"/>
    <d v="2016-11-11T00:00:00"/>
    <x v="0"/>
    <x v="0"/>
    <s v="Standard Class"/>
    <s v="MJ-17740"/>
    <x v="77"/>
    <s v="Consumer"/>
    <s v="United States"/>
    <s v="Seattle"/>
    <x v="4"/>
    <n v="98115"/>
    <s v="West"/>
    <s v="OFF-BI-10004002"/>
    <x v="1"/>
    <x v="8"/>
    <s v="Wilson Jones International Size A4 Ring Binders"/>
    <n v="27.68"/>
    <n v="2"/>
    <n v="0.2"/>
    <n v="9.6880000000000006"/>
  </r>
  <r>
    <n v="165"/>
    <s v="CA-2014-139892"/>
    <d v="2014-09-08T00:00:00"/>
    <d v="2014-09-12T00:00:00"/>
    <x v="8"/>
    <x v="2"/>
    <s v="Standard Class"/>
    <s v="BM-11140"/>
    <x v="78"/>
    <s v="Consumer"/>
    <s v="United States"/>
    <s v="San Antonio"/>
    <x v="5"/>
    <n v="78207"/>
    <s v="Central"/>
    <s v="OFF-AR-10004441"/>
    <x v="1"/>
    <x v="6"/>
    <s v="BIC Brite Liner Highlighters"/>
    <n v="9.9359999999999999"/>
    <n v="3"/>
    <n v="0.2"/>
    <n v="2.7324000000000002"/>
  </r>
  <r>
    <n v="166"/>
    <s v="CA-2014-139892"/>
    <d v="2014-09-08T00:00:00"/>
    <d v="2014-09-12T00:00:00"/>
    <x v="8"/>
    <x v="2"/>
    <s v="Standard Class"/>
    <s v="BM-11140"/>
    <x v="78"/>
    <s v="Consumer"/>
    <s v="United States"/>
    <s v="San Antonio"/>
    <x v="5"/>
    <n v="78207"/>
    <s v="Central"/>
    <s v="TEC-MA-10000822"/>
    <x v="2"/>
    <x v="15"/>
    <s v="Lexmark MX611dhe Monochrome Laser Printer"/>
    <n v="8159.9520000000002"/>
    <n v="8"/>
    <n v="0.4"/>
    <n v="-1359.992"/>
  </r>
  <r>
    <n v="167"/>
    <s v="CA-2014-139892"/>
    <d v="2014-09-08T00:00:00"/>
    <d v="2014-09-12T00:00:00"/>
    <x v="8"/>
    <x v="2"/>
    <s v="Standard Class"/>
    <s v="BM-11140"/>
    <x v="78"/>
    <s v="Consumer"/>
    <s v="United States"/>
    <s v="San Antonio"/>
    <x v="5"/>
    <n v="78207"/>
    <s v="Central"/>
    <s v="OFF-ST-10000991"/>
    <x v="1"/>
    <x v="4"/>
    <s v="Space Solutions HD Industrial Steel Shelving."/>
    <n v="275.928"/>
    <n v="3"/>
    <n v="0.2"/>
    <n v="-58.634700000000002"/>
  </r>
  <r>
    <n v="168"/>
    <s v="CA-2014-139892"/>
    <d v="2014-09-08T00:00:00"/>
    <d v="2014-09-12T00:00:00"/>
    <x v="8"/>
    <x v="2"/>
    <s v="Standard Class"/>
    <s v="BM-11140"/>
    <x v="78"/>
    <s v="Consumer"/>
    <s v="United States"/>
    <s v="San Antonio"/>
    <x v="5"/>
    <n v="78207"/>
    <s v="Central"/>
    <s v="FUR-CH-10004287"/>
    <x v="0"/>
    <x v="1"/>
    <s v="SAFCO Arco Folding Chair"/>
    <n v="1740.06"/>
    <n v="9"/>
    <n v="0.3"/>
    <n v="-24.858000000000001"/>
  </r>
  <r>
    <n v="169"/>
    <s v="CA-2014-139892"/>
    <d v="2014-09-08T00:00:00"/>
    <d v="2014-09-12T00:00:00"/>
    <x v="8"/>
    <x v="2"/>
    <s v="Standard Class"/>
    <s v="BM-11140"/>
    <x v="78"/>
    <s v="Consumer"/>
    <s v="United States"/>
    <s v="San Antonio"/>
    <x v="5"/>
    <n v="78207"/>
    <s v="Central"/>
    <s v="OFF-AR-10002656"/>
    <x v="1"/>
    <x v="6"/>
    <s v="Sanford Liquid Accent Highlighters"/>
    <n v="32.064"/>
    <n v="6"/>
    <n v="0.2"/>
    <n v="6.8136000000000001"/>
  </r>
  <r>
    <n v="170"/>
    <s v="CA-2014-139892"/>
    <d v="2014-09-08T00:00:00"/>
    <d v="2014-09-12T00:00:00"/>
    <x v="8"/>
    <x v="2"/>
    <s v="Standard Class"/>
    <s v="BM-11140"/>
    <x v="78"/>
    <s v="Consumer"/>
    <s v="United States"/>
    <s v="San Antonio"/>
    <x v="5"/>
    <n v="78207"/>
    <s v="Central"/>
    <s v="OFF-AP-10002518"/>
    <x v="1"/>
    <x v="9"/>
    <s v="Kensington 7 Outlet MasterPiece Power Center"/>
    <n v="177.98"/>
    <n v="5"/>
    <n v="0.8"/>
    <n v="-453.84899999999999"/>
  </r>
  <r>
    <n v="171"/>
    <s v="CA-2014-139892"/>
    <d v="2014-09-08T00:00:00"/>
    <d v="2014-09-12T00:00:00"/>
    <x v="8"/>
    <x v="2"/>
    <s v="Standard Class"/>
    <s v="BM-11140"/>
    <x v="78"/>
    <s v="Consumer"/>
    <s v="United States"/>
    <s v="San Antonio"/>
    <x v="5"/>
    <n v="78207"/>
    <s v="Central"/>
    <s v="TEC-PH-10003931"/>
    <x v="2"/>
    <x v="7"/>
    <s v="JBL Micro Wireless Portable Bluetooth Speaker"/>
    <n v="143.976"/>
    <n v="3"/>
    <n v="0.2"/>
    <n v="8.9984999999999999"/>
  </r>
  <r>
    <n v="172"/>
    <s v="CA-2014-118962"/>
    <d v="2014-08-05T00:00:00"/>
    <d v="2014-08-09T00:00:00"/>
    <x v="6"/>
    <x v="2"/>
    <s v="Standard Class"/>
    <s v="CS-12130"/>
    <x v="79"/>
    <s v="Consumer"/>
    <s v="United States"/>
    <s v="Los Angeles"/>
    <x v="1"/>
    <n v="90004"/>
    <s v="West"/>
    <s v="OFF-PA-10000659"/>
    <x v="1"/>
    <x v="10"/>
    <s v="Adams Phone Message Book, Professional, 400 Message Capacity, 5 3/6” x 11”"/>
    <n v="20.94"/>
    <n v="3"/>
    <n v="0"/>
    <n v="9.8417999999999992"/>
  </r>
  <r>
    <n v="173"/>
    <s v="CA-2014-118962"/>
    <d v="2014-08-05T00:00:00"/>
    <d v="2014-08-09T00:00:00"/>
    <x v="6"/>
    <x v="2"/>
    <s v="Standard Class"/>
    <s v="CS-12130"/>
    <x v="79"/>
    <s v="Consumer"/>
    <s v="United States"/>
    <s v="Los Angeles"/>
    <x v="1"/>
    <n v="90004"/>
    <s v="West"/>
    <s v="OFF-PA-10001144"/>
    <x v="1"/>
    <x v="10"/>
    <s v="Xerox 1913"/>
    <n v="110.96"/>
    <n v="2"/>
    <n v="0"/>
    <n v="53.260800000000003"/>
  </r>
  <r>
    <n v="174"/>
    <s v="CA-2014-118962"/>
    <d v="2014-08-05T00:00:00"/>
    <d v="2014-08-09T00:00:00"/>
    <x v="6"/>
    <x v="2"/>
    <s v="Standard Class"/>
    <s v="CS-12130"/>
    <x v="79"/>
    <s v="Consumer"/>
    <s v="United States"/>
    <s v="Los Angeles"/>
    <x v="1"/>
    <n v="90004"/>
    <s v="West"/>
    <s v="FUR-CH-10003817"/>
    <x v="0"/>
    <x v="1"/>
    <s v="Global Value Steno Chair, Gray"/>
    <n v="340.14400000000001"/>
    <n v="7"/>
    <n v="0.2"/>
    <n v="21.259"/>
  </r>
  <r>
    <n v="175"/>
    <s v="US-2014-100853"/>
    <d v="2014-09-14T00:00:00"/>
    <d v="2014-09-19T00:00:00"/>
    <x v="8"/>
    <x v="2"/>
    <s v="Standard Class"/>
    <s v="JB-15400"/>
    <x v="80"/>
    <s v="Corporate"/>
    <s v="United States"/>
    <s v="Chicago"/>
    <x v="10"/>
    <n v="60623"/>
    <s v="Central"/>
    <s v="OFF-AP-10000891"/>
    <x v="1"/>
    <x v="9"/>
    <s v="Kensington 7 Outlet MasterPiece HOMEOFFICE Power Control Center"/>
    <n v="52.448"/>
    <n v="2"/>
    <n v="0.8"/>
    <n v="-131.12"/>
  </r>
  <r>
    <n v="176"/>
    <s v="US-2014-100853"/>
    <d v="2014-09-14T00:00:00"/>
    <d v="2014-09-19T00:00:00"/>
    <x v="8"/>
    <x v="2"/>
    <s v="Standard Class"/>
    <s v="JB-15400"/>
    <x v="80"/>
    <s v="Corporate"/>
    <s v="United States"/>
    <s v="Chicago"/>
    <x v="10"/>
    <n v="60623"/>
    <s v="Central"/>
    <s v="OFF-LA-10003148"/>
    <x v="1"/>
    <x v="2"/>
    <s v="Avery 51"/>
    <n v="20.16"/>
    <n v="4"/>
    <n v="0.2"/>
    <n v="6.5519999999999996"/>
  </r>
  <r>
    <n v="177"/>
    <s v="US-2017-152366"/>
    <d v="2017-04-21T00:00:00"/>
    <d v="2017-04-25T00:00:00"/>
    <x v="3"/>
    <x v="3"/>
    <s v="Second Class"/>
    <s v="SJ-20500"/>
    <x v="81"/>
    <s v="Consumer"/>
    <s v="United States"/>
    <s v="Houston"/>
    <x v="5"/>
    <n v="77036"/>
    <s v="Central"/>
    <s v="OFF-AP-10002684"/>
    <x v="1"/>
    <x v="9"/>
    <s v="Acco 7-Outlet Masterpiece Power Center, Wihtout Fax/Phone Line Protection"/>
    <n v="97.263999999999996"/>
    <n v="4"/>
    <n v="0.8"/>
    <n v="-243.16"/>
  </r>
  <r>
    <n v="178"/>
    <s v="US-2015-101511"/>
    <d v="2015-11-21T00:00:00"/>
    <d v="2015-11-23T00:00:00"/>
    <x v="0"/>
    <x v="1"/>
    <s v="Second Class"/>
    <s v="JE-15745"/>
    <x v="32"/>
    <s v="Consumer"/>
    <s v="United States"/>
    <s v="Newark"/>
    <x v="24"/>
    <n v="43055"/>
    <s v="East"/>
    <s v="FUR-CH-10004698"/>
    <x v="0"/>
    <x v="1"/>
    <s v="Padded Folding Chairs, Black, 4/Carton"/>
    <n v="396.80200000000002"/>
    <n v="7"/>
    <n v="0.3"/>
    <n v="-11.337199999999999"/>
  </r>
  <r>
    <n v="179"/>
    <s v="US-2015-101511"/>
    <d v="2015-11-21T00:00:00"/>
    <d v="2015-11-23T00:00:00"/>
    <x v="0"/>
    <x v="1"/>
    <s v="Second Class"/>
    <s v="JE-15745"/>
    <x v="32"/>
    <s v="Consumer"/>
    <s v="United States"/>
    <s v="Newark"/>
    <x v="24"/>
    <n v="43055"/>
    <s v="East"/>
    <s v="OFF-SU-10002189"/>
    <x v="1"/>
    <x v="14"/>
    <s v="Acme Rosewood Handle Letter Opener"/>
    <n v="15.88"/>
    <n v="5"/>
    <n v="0.2"/>
    <n v="-3.7715000000000001"/>
  </r>
  <r>
    <n v="180"/>
    <s v="CA-2015-137225"/>
    <d v="2015-12-15T00:00:00"/>
    <d v="2015-12-19T00:00:00"/>
    <x v="4"/>
    <x v="1"/>
    <s v="Standard Class"/>
    <s v="JK-15640"/>
    <x v="82"/>
    <s v="Home Office"/>
    <s v="United States"/>
    <s v="New York City"/>
    <x v="15"/>
    <n v="10009"/>
    <s v="East"/>
    <s v="OFF-AR-10001940"/>
    <x v="1"/>
    <x v="6"/>
    <s v="Sanford Colorific Eraseable Coloring Pencils, 12 Count"/>
    <n v="3.28"/>
    <n v="1"/>
    <n v="0"/>
    <n v="1.4104000000000001"/>
  </r>
  <r>
    <n v="181"/>
    <s v="CA-2014-166191"/>
    <d v="2014-12-05T00:00:00"/>
    <d v="2014-12-09T00:00:00"/>
    <x v="4"/>
    <x v="2"/>
    <s v="Second Class"/>
    <s v="DK-13150"/>
    <x v="83"/>
    <s v="Corporate"/>
    <s v="United States"/>
    <s v="Decatur"/>
    <x v="10"/>
    <n v="62521"/>
    <s v="Central"/>
    <s v="OFF-ST-10003455"/>
    <x v="1"/>
    <x v="4"/>
    <s v="Tenex File Box, Personal Filing Tote with Lid, Black"/>
    <n v="24.815999999999999"/>
    <n v="2"/>
    <n v="0.2"/>
    <n v="1.8612"/>
  </r>
  <r>
    <n v="182"/>
    <s v="CA-2014-166191"/>
    <d v="2014-12-05T00:00:00"/>
    <d v="2014-12-09T00:00:00"/>
    <x v="4"/>
    <x v="2"/>
    <s v="Second Class"/>
    <s v="DK-13150"/>
    <x v="83"/>
    <s v="Corporate"/>
    <s v="United States"/>
    <s v="Decatur"/>
    <x v="10"/>
    <n v="62521"/>
    <s v="Central"/>
    <s v="TEC-AC-10004659"/>
    <x v="2"/>
    <x v="11"/>
    <s v="Imation Secure+ Hardware Encrypted USB 2.0 Flash Drive; 16GB"/>
    <n v="408.74400000000003"/>
    <n v="7"/>
    <n v="0.2"/>
    <n v="76.639499999999998"/>
  </r>
  <r>
    <n v="183"/>
    <s v="CA-2014-158274"/>
    <d v="2014-11-19T00:00:00"/>
    <d v="2014-11-24T00:00:00"/>
    <x v="0"/>
    <x v="2"/>
    <s v="Second Class"/>
    <s v="RM-19675"/>
    <x v="84"/>
    <s v="Home Office"/>
    <s v="United States"/>
    <s v="Monroe"/>
    <x v="28"/>
    <n v="71203"/>
    <s v="South"/>
    <s v="TEC-PH-10003273"/>
    <x v="2"/>
    <x v="7"/>
    <s v="AT&amp;T TR1909W"/>
    <n v="503.96"/>
    <n v="4"/>
    <n v="0"/>
    <n v="131.02959999999999"/>
  </r>
  <r>
    <n v="184"/>
    <s v="CA-2014-158274"/>
    <d v="2014-11-19T00:00:00"/>
    <d v="2014-11-24T00:00:00"/>
    <x v="0"/>
    <x v="2"/>
    <s v="Second Class"/>
    <s v="RM-19675"/>
    <x v="84"/>
    <s v="Home Office"/>
    <s v="United States"/>
    <s v="Monroe"/>
    <x v="28"/>
    <n v="71203"/>
    <s v="South"/>
    <s v="TEC-PH-10004896"/>
    <x v="2"/>
    <x v="7"/>
    <s v="Nokia Lumia 521 (T-Mobile)"/>
    <n v="149.94999999999999"/>
    <n v="5"/>
    <n v="0"/>
    <n v="41.985999999999997"/>
  </r>
  <r>
    <n v="185"/>
    <s v="CA-2014-158274"/>
    <d v="2014-11-19T00:00:00"/>
    <d v="2014-11-24T00:00:00"/>
    <x v="0"/>
    <x v="2"/>
    <s v="Second Class"/>
    <s v="RM-19675"/>
    <x v="84"/>
    <s v="Home Office"/>
    <s v="United States"/>
    <s v="Monroe"/>
    <x v="28"/>
    <n v="71203"/>
    <s v="South"/>
    <s v="TEC-AC-10002345"/>
    <x v="2"/>
    <x v="11"/>
    <s v="HP Standard 104 key PS/2 Keyboard"/>
    <n v="29"/>
    <n v="2"/>
    <n v="0"/>
    <n v="7.25"/>
  </r>
  <r>
    <n v="186"/>
    <s v="CA-2016-105018"/>
    <d v="2016-11-28T00:00:00"/>
    <d v="2016-12-02T00:00:00"/>
    <x v="0"/>
    <x v="0"/>
    <s v="Standard Class"/>
    <s v="SK-19990"/>
    <x v="85"/>
    <s v="Consumer"/>
    <s v="United States"/>
    <s v="Fairfield"/>
    <x v="29"/>
    <n v="6824"/>
    <s v="East"/>
    <s v="OFF-BI-10001890"/>
    <x v="1"/>
    <x v="8"/>
    <s v="Avery Poly Binder Pockets"/>
    <n v="7.16"/>
    <n v="2"/>
    <n v="0"/>
    <n v="3.4367999999999999"/>
  </r>
  <r>
    <n v="187"/>
    <s v="CA-2014-123260"/>
    <d v="2014-08-26T00:00:00"/>
    <d v="2014-08-30T00:00:00"/>
    <x v="6"/>
    <x v="2"/>
    <s v="Standard Class"/>
    <s v="FM-14290"/>
    <x v="86"/>
    <s v="Home Office"/>
    <s v="United States"/>
    <s v="Los Angeles"/>
    <x v="1"/>
    <n v="90032"/>
    <s v="West"/>
    <s v="TEC-AC-10002323"/>
    <x v="2"/>
    <x v="11"/>
    <s v="SanDisk Ultra 32 GB MicroSDHC Class 10 Memory Card"/>
    <n v="176.8"/>
    <n v="8"/>
    <n v="0"/>
    <n v="22.984000000000002"/>
  </r>
  <r>
    <n v="188"/>
    <s v="CA-2016-157000"/>
    <d v="2016-07-16T00:00:00"/>
    <d v="2016-07-22T00:00:00"/>
    <x v="7"/>
    <x v="0"/>
    <s v="Standard Class"/>
    <s v="AM-10360"/>
    <x v="87"/>
    <s v="Corporate"/>
    <s v="United States"/>
    <s v="Grand Prairie"/>
    <x v="5"/>
    <n v="75051"/>
    <s v="Central"/>
    <s v="OFF-ST-10001328"/>
    <x v="1"/>
    <x v="4"/>
    <s v="Personal Filing Tote with Lid, Black/Gray"/>
    <n v="37.223999999999997"/>
    <n v="3"/>
    <n v="0.2"/>
    <n v="3.7223999999999999"/>
  </r>
  <r>
    <n v="189"/>
    <s v="CA-2016-157000"/>
    <d v="2016-07-16T00:00:00"/>
    <d v="2016-07-22T00:00:00"/>
    <x v="7"/>
    <x v="0"/>
    <s v="Standard Class"/>
    <s v="AM-10360"/>
    <x v="87"/>
    <s v="Corporate"/>
    <s v="United States"/>
    <s v="Grand Prairie"/>
    <x v="5"/>
    <n v="75051"/>
    <s v="Central"/>
    <s v="OFF-PA-10001950"/>
    <x v="1"/>
    <x v="10"/>
    <s v="Southworth 25% Cotton Antique Laid Paper &amp; Envelopes"/>
    <n v="20.015999999999998"/>
    <n v="3"/>
    <n v="0.2"/>
    <n v="6.2549999999999999"/>
  </r>
  <r>
    <n v="190"/>
    <s v="CA-2015-102281"/>
    <d v="2015-10-12T00:00:00"/>
    <d v="2015-10-14T00:00:00"/>
    <x v="2"/>
    <x v="1"/>
    <s v="First Class"/>
    <s v="MP-17470"/>
    <x v="88"/>
    <s v="Home Office"/>
    <s v="United States"/>
    <s v="New York City"/>
    <x v="15"/>
    <n v="10035"/>
    <s v="East"/>
    <s v="FUR-BO-10002613"/>
    <x v="0"/>
    <x v="0"/>
    <s v="Atlantic Metals Mobile 4-Shelf Bookcases, Custom Colors"/>
    <n v="899.13599999999997"/>
    <n v="4"/>
    <n v="0.2"/>
    <n v="112.392"/>
  </r>
  <r>
    <n v="191"/>
    <s v="CA-2015-102281"/>
    <d v="2015-10-12T00:00:00"/>
    <d v="2015-10-14T00:00:00"/>
    <x v="2"/>
    <x v="1"/>
    <s v="First Class"/>
    <s v="MP-17470"/>
    <x v="88"/>
    <s v="Home Office"/>
    <s v="United States"/>
    <s v="New York City"/>
    <x v="15"/>
    <n v="10035"/>
    <s v="East"/>
    <s v="TEC-PH-10001552"/>
    <x v="2"/>
    <x v="7"/>
    <s v="I Need's 3d Hello Kitty Hybrid Silicone Case Cover for HTC One X 4g with 3d Hello Kitty Stylus Pen Green/pink"/>
    <n v="71.760000000000005"/>
    <n v="6"/>
    <n v="0"/>
    <n v="20.0928"/>
  </r>
  <r>
    <n v="192"/>
    <s v="CA-2015-102281"/>
    <d v="2015-10-12T00:00:00"/>
    <d v="2015-10-14T00:00:00"/>
    <x v="2"/>
    <x v="1"/>
    <s v="First Class"/>
    <s v="MP-17470"/>
    <x v="88"/>
    <s v="Home Office"/>
    <s v="United States"/>
    <s v="New York City"/>
    <x v="15"/>
    <n v="10035"/>
    <s v="East"/>
    <s v="OFF-PA-10000061"/>
    <x v="1"/>
    <x v="10"/>
    <s v="Xerox 205"/>
    <n v="51.84"/>
    <n v="8"/>
    <n v="0"/>
    <n v="24.883199999999999"/>
  </r>
  <r>
    <n v="193"/>
    <s v="CA-2015-102281"/>
    <d v="2015-10-12T00:00:00"/>
    <d v="2015-10-14T00:00:00"/>
    <x v="2"/>
    <x v="1"/>
    <s v="First Class"/>
    <s v="MP-17470"/>
    <x v="88"/>
    <s v="Home Office"/>
    <s v="United States"/>
    <s v="New York City"/>
    <x v="15"/>
    <n v="10035"/>
    <s v="East"/>
    <s v="FUR-BO-10002545"/>
    <x v="0"/>
    <x v="0"/>
    <s v="Atlantic Metals Mobile 3-Shelf Bookcases, Custom Colors"/>
    <n v="626.35199999999998"/>
    <n v="3"/>
    <n v="0.2"/>
    <n v="46.976399999999998"/>
  </r>
  <r>
    <n v="194"/>
    <s v="CA-2015-102281"/>
    <d v="2015-10-12T00:00:00"/>
    <d v="2015-10-14T00:00:00"/>
    <x v="2"/>
    <x v="1"/>
    <s v="First Class"/>
    <s v="MP-17470"/>
    <x v="88"/>
    <s v="Home Office"/>
    <s v="United States"/>
    <s v="New York City"/>
    <x v="15"/>
    <n v="10035"/>
    <s v="East"/>
    <s v="OFF-AR-10003514"/>
    <x v="1"/>
    <x v="6"/>
    <s v="4009 Highlighters by Sanford"/>
    <n v="19.899999999999999"/>
    <n v="5"/>
    <n v="0"/>
    <n v="6.5670000000000002"/>
  </r>
  <r>
    <n v="195"/>
    <s v="CA-2015-131457"/>
    <d v="2015-10-31T00:00:00"/>
    <d v="2015-11-06T00:00:00"/>
    <x v="2"/>
    <x v="1"/>
    <s v="Standard Class"/>
    <s v="MZ-17515"/>
    <x v="89"/>
    <s v="Corporate"/>
    <s v="United States"/>
    <s v="Redlands"/>
    <x v="1"/>
    <n v="92374"/>
    <s v="West"/>
    <s v="OFF-EN-10001509"/>
    <x v="1"/>
    <x v="12"/>
    <s v="Poly String Tie Envelopes"/>
    <n v="14.28"/>
    <n v="7"/>
    <n v="0"/>
    <n v="6.7115999999999998"/>
  </r>
  <r>
    <n v="196"/>
    <s v="CA-2014-140004"/>
    <d v="2014-03-21T00:00:00"/>
    <d v="2014-03-25T00:00:00"/>
    <x v="10"/>
    <x v="2"/>
    <s v="Standard Class"/>
    <s v="CB-12025"/>
    <x v="90"/>
    <s v="Consumer"/>
    <s v="United States"/>
    <s v="Hamilton"/>
    <x v="24"/>
    <n v="45011"/>
    <s v="East"/>
    <s v="OFF-AR-10004685"/>
    <x v="1"/>
    <x v="6"/>
    <s v="Binney &amp; Smith Crayola Metallic Colored Pencils, 8-Color Set"/>
    <n v="7.4080000000000004"/>
    <n v="2"/>
    <n v="0.2"/>
    <n v="1.2038"/>
  </r>
  <r>
    <n v="197"/>
    <s v="CA-2014-140004"/>
    <d v="2014-03-21T00:00:00"/>
    <d v="2014-03-25T00:00:00"/>
    <x v="10"/>
    <x v="2"/>
    <s v="Standard Class"/>
    <s v="CB-12025"/>
    <x v="90"/>
    <s v="Consumer"/>
    <s v="United States"/>
    <s v="Hamilton"/>
    <x v="24"/>
    <n v="45011"/>
    <s v="East"/>
    <s v="OFF-AR-10004027"/>
    <x v="1"/>
    <x v="6"/>
    <s v="Binney &amp; Smith inkTank Erasable Desk Highlighter, Chisel Tip, Yellow, 12/Box"/>
    <n v="6.048"/>
    <n v="3"/>
    <n v="0.2"/>
    <n v="1.5875999999999999"/>
  </r>
  <r>
    <n v="198"/>
    <s v="CA-2017-107720"/>
    <d v="2017-11-06T00:00:00"/>
    <d v="2017-11-13T00:00:00"/>
    <x v="0"/>
    <x v="3"/>
    <s v="Standard Class"/>
    <s v="VM-21685"/>
    <x v="91"/>
    <s v="Home Office"/>
    <s v="United States"/>
    <s v="Westfield"/>
    <x v="30"/>
    <n v="7090"/>
    <s v="East"/>
    <s v="OFF-ST-10001414"/>
    <x v="1"/>
    <x v="4"/>
    <s v="Decoflex Hanging Personal Folder File"/>
    <n v="46.26"/>
    <n v="3"/>
    <n v="0"/>
    <n v="12.0276"/>
  </r>
  <r>
    <n v="199"/>
    <s v="US-2017-124303"/>
    <d v="2017-07-06T00:00:00"/>
    <d v="2017-07-13T00:00:00"/>
    <x v="7"/>
    <x v="3"/>
    <s v="Standard Class"/>
    <s v="FH-14365"/>
    <x v="92"/>
    <s v="Corporate"/>
    <s v="United States"/>
    <s v="Philadelphia"/>
    <x v="9"/>
    <n v="19120"/>
    <s v="East"/>
    <s v="OFF-BI-10000343"/>
    <x v="1"/>
    <x v="8"/>
    <s v="Pressboard Covers with Storage Hooks, 9 1/2&quot; x 11&quot;, Light Blue"/>
    <n v="2.9460000000000002"/>
    <n v="2"/>
    <n v="0.7"/>
    <n v="-2.2585999999999999"/>
  </r>
  <r>
    <n v="200"/>
    <s v="US-2017-124303"/>
    <d v="2017-07-06T00:00:00"/>
    <d v="2017-07-13T00:00:00"/>
    <x v="7"/>
    <x v="3"/>
    <s v="Standard Class"/>
    <s v="FH-14365"/>
    <x v="92"/>
    <s v="Corporate"/>
    <s v="United States"/>
    <s v="Philadelphia"/>
    <x v="9"/>
    <n v="19120"/>
    <s v="East"/>
    <s v="OFF-PA-10002749"/>
    <x v="1"/>
    <x v="10"/>
    <s v="Wirebound Message Books, 5-1/2 x 4 Forms, 2 or 4 Forms per Page"/>
    <n v="16.056000000000001"/>
    <n v="3"/>
    <n v="0.2"/>
    <n v="5.8202999999999996"/>
  </r>
  <r>
    <n v="201"/>
    <s v="CA-2017-105074"/>
    <d v="2017-06-24T00:00:00"/>
    <d v="2017-06-29T00:00:00"/>
    <x v="1"/>
    <x v="3"/>
    <s v="Standard Class"/>
    <s v="MB-17305"/>
    <x v="93"/>
    <s v="Consumer"/>
    <s v="United States"/>
    <s v="Akron"/>
    <x v="24"/>
    <n v="44312"/>
    <s v="East"/>
    <s v="OFF-PA-10002666"/>
    <x v="1"/>
    <x v="10"/>
    <s v="Southworth 25% Cotton Linen-Finish Paper &amp; Envelopes"/>
    <n v="21.744"/>
    <n v="3"/>
    <n v="0.2"/>
    <n v="6.7949999999999999"/>
  </r>
  <r>
    <n v="202"/>
    <s v="CA-2014-133690"/>
    <d v="2014-08-03T00:00:00"/>
    <d v="2014-08-05T00:00:00"/>
    <x v="6"/>
    <x v="2"/>
    <s v="First Class"/>
    <s v="BS-11755"/>
    <x v="94"/>
    <s v="Consumer"/>
    <s v="United States"/>
    <s v="Denver"/>
    <x v="22"/>
    <n v="80219"/>
    <s v="West"/>
    <s v="FUR-TA-10004289"/>
    <x v="0"/>
    <x v="3"/>
    <s v="BoxOffice By Design Rectangular and Half-Moon Meeting Room Tables"/>
    <n v="218.75"/>
    <n v="2"/>
    <n v="0.5"/>
    <n v="-161.875"/>
  </r>
  <r>
    <n v="203"/>
    <s v="CA-2014-133690"/>
    <d v="2014-08-03T00:00:00"/>
    <d v="2014-08-05T00:00:00"/>
    <x v="6"/>
    <x v="2"/>
    <s v="First Class"/>
    <s v="BS-11755"/>
    <x v="94"/>
    <s v="Consumer"/>
    <s v="United States"/>
    <s v="Denver"/>
    <x v="22"/>
    <n v="80219"/>
    <s v="West"/>
    <s v="OFF-AP-10003622"/>
    <x v="1"/>
    <x v="9"/>
    <s v="Bravo II Megaboss 12-Amp Hard Body Upright, Replacement Belts, 2 Belts per Pack"/>
    <n v="2.6"/>
    <n v="1"/>
    <n v="0.2"/>
    <n v="0.29249999999999998"/>
  </r>
  <r>
    <n v="204"/>
    <s v="US-2017-116701"/>
    <d v="2017-12-17T00:00:00"/>
    <d v="2017-12-21T00:00:00"/>
    <x v="4"/>
    <x v="3"/>
    <s v="Second Class"/>
    <s v="LC-17140"/>
    <x v="95"/>
    <s v="Consumer"/>
    <s v="United States"/>
    <s v="Dallas"/>
    <x v="5"/>
    <n v="75220"/>
    <s v="Central"/>
    <s v="OFF-AP-10003217"/>
    <x v="1"/>
    <x v="9"/>
    <s v="Eureka Sanitaire  Commercial Upright"/>
    <n v="66.284000000000006"/>
    <n v="2"/>
    <n v="0.8"/>
    <n v="-178.96680000000001"/>
  </r>
  <r>
    <n v="205"/>
    <s v="CA-2017-126382"/>
    <d v="2017-06-03T00:00:00"/>
    <d v="2017-06-07T00:00:00"/>
    <x v="1"/>
    <x v="3"/>
    <s v="Standard Class"/>
    <s v="HK-14890"/>
    <x v="96"/>
    <s v="Corporate"/>
    <s v="United States"/>
    <s v="Franklin"/>
    <x v="18"/>
    <n v="37064"/>
    <s v="South"/>
    <s v="FUR-FU-10002960"/>
    <x v="0"/>
    <x v="5"/>
    <s v="Eldon 200 Class Desk Accessories, Burgundy"/>
    <n v="35.167999999999999"/>
    <n v="7"/>
    <n v="0.2"/>
    <n v="9.6712000000000007"/>
  </r>
  <r>
    <n v="206"/>
    <s v="CA-2017-108329"/>
    <d v="2017-12-09T00:00:00"/>
    <d v="2017-12-14T00:00:00"/>
    <x v="4"/>
    <x v="3"/>
    <s v="Standard Class"/>
    <s v="LE-16810"/>
    <x v="97"/>
    <s v="Consumer"/>
    <s v="United States"/>
    <s v="Whittier"/>
    <x v="1"/>
    <n v="90604"/>
    <s v="West"/>
    <s v="TEC-PH-10001918"/>
    <x v="2"/>
    <x v="7"/>
    <s v="Nortel Business Series Terminal T7208 Digital phone"/>
    <n v="444.76799999999997"/>
    <n v="4"/>
    <n v="0.2"/>
    <n v="44.476799999999997"/>
  </r>
  <r>
    <n v="207"/>
    <s v="CA-2017-135860"/>
    <d v="2017-12-01T00:00:00"/>
    <d v="2017-12-07T00:00:00"/>
    <x v="4"/>
    <x v="3"/>
    <s v="Standard Class"/>
    <s v="JH-15985"/>
    <x v="98"/>
    <s v="Consumer"/>
    <s v="United States"/>
    <s v="Saginaw"/>
    <x v="12"/>
    <n v="48601"/>
    <s v="Central"/>
    <s v="OFF-ST-10000642"/>
    <x v="1"/>
    <x v="4"/>
    <s v="Tennsco Lockers, Gray"/>
    <n v="83.92"/>
    <n v="4"/>
    <n v="0"/>
    <n v="5.8743999999999996"/>
  </r>
  <r>
    <n v="208"/>
    <s v="CA-2017-135860"/>
    <d v="2017-12-01T00:00:00"/>
    <d v="2017-12-07T00:00:00"/>
    <x v="4"/>
    <x v="3"/>
    <s v="Standard Class"/>
    <s v="JH-15985"/>
    <x v="98"/>
    <s v="Consumer"/>
    <s v="United States"/>
    <s v="Saginaw"/>
    <x v="12"/>
    <n v="48601"/>
    <s v="Central"/>
    <s v="TEC-PH-10001700"/>
    <x v="2"/>
    <x v="7"/>
    <s v="Panasonic KX-TG6844B Expandable Digital Cordless Telephone"/>
    <n v="131.97999999999999"/>
    <n v="2"/>
    <n v="0"/>
    <n v="35.634599999999999"/>
  </r>
  <r>
    <n v="209"/>
    <s v="CA-2017-135860"/>
    <d v="2017-12-01T00:00:00"/>
    <d v="2017-12-07T00:00:00"/>
    <x v="4"/>
    <x v="3"/>
    <s v="Standard Class"/>
    <s v="JH-15985"/>
    <x v="98"/>
    <s v="Consumer"/>
    <s v="United States"/>
    <s v="Saginaw"/>
    <x v="12"/>
    <n v="48601"/>
    <s v="Central"/>
    <s v="OFF-BI-10003274"/>
    <x v="1"/>
    <x v="8"/>
    <s v="Avery Durable Slant Ring Binders, No Labels"/>
    <n v="15.92"/>
    <n v="4"/>
    <n v="0"/>
    <n v="7.4824000000000002"/>
  </r>
  <r>
    <n v="210"/>
    <s v="CA-2017-135860"/>
    <d v="2017-12-01T00:00:00"/>
    <d v="2017-12-07T00:00:00"/>
    <x v="4"/>
    <x v="3"/>
    <s v="Standard Class"/>
    <s v="JH-15985"/>
    <x v="98"/>
    <s v="Consumer"/>
    <s v="United States"/>
    <s v="Saginaw"/>
    <x v="12"/>
    <n v="48601"/>
    <s v="Central"/>
    <s v="OFF-FA-10000134"/>
    <x v="1"/>
    <x v="13"/>
    <s v="Advantus Push Pins, Aluminum Head"/>
    <n v="52.29"/>
    <n v="9"/>
    <n v="0"/>
    <n v="16.209900000000001"/>
  </r>
  <r>
    <n v="211"/>
    <s v="CA-2017-135860"/>
    <d v="2017-12-01T00:00:00"/>
    <d v="2017-12-07T00:00:00"/>
    <x v="4"/>
    <x v="3"/>
    <s v="Standard Class"/>
    <s v="JH-15985"/>
    <x v="98"/>
    <s v="Consumer"/>
    <s v="United States"/>
    <s v="Saginaw"/>
    <x v="12"/>
    <n v="48601"/>
    <s v="Central"/>
    <s v="OFF-ST-10001522"/>
    <x v="1"/>
    <x v="4"/>
    <s v="Gould Plastics 18-Pocket Panel Bin, 34w x 5-1/4d x 20-1/2h"/>
    <n v="91.99"/>
    <n v="1"/>
    <n v="0"/>
    <n v="3.6796000000000002"/>
  </r>
  <r>
    <n v="212"/>
    <s v="CA-2015-101007"/>
    <d v="2015-02-09T00:00:00"/>
    <d v="2015-02-13T00:00:00"/>
    <x v="11"/>
    <x v="1"/>
    <s v="Second Class"/>
    <s v="MS-17980"/>
    <x v="99"/>
    <s v="Corporate"/>
    <s v="United States"/>
    <s v="Dallas"/>
    <x v="5"/>
    <n v="75220"/>
    <s v="Central"/>
    <s v="TEC-AC-10001266"/>
    <x v="2"/>
    <x v="11"/>
    <s v="Memorex Micro Travel Drive 8 GB"/>
    <n v="20.8"/>
    <n v="2"/>
    <n v="0.2"/>
    <n v="6.5"/>
  </r>
  <r>
    <n v="213"/>
    <s v="CA-2015-146262"/>
    <d v="2015-01-02T00:00:00"/>
    <d v="2015-01-09T00:00:00"/>
    <x v="9"/>
    <x v="1"/>
    <s v="Standard Class"/>
    <s v="VW-21775"/>
    <x v="100"/>
    <s v="Corporate"/>
    <s v="United States"/>
    <s v="Medina"/>
    <x v="24"/>
    <n v="44256"/>
    <s v="East"/>
    <s v="OFF-LA-10004544"/>
    <x v="1"/>
    <x v="2"/>
    <s v="Avery 505"/>
    <n v="23.68"/>
    <n v="2"/>
    <n v="0.2"/>
    <n v="8.8800000000000008"/>
  </r>
  <r>
    <n v="214"/>
    <s v="CA-2015-146262"/>
    <d v="2015-01-02T00:00:00"/>
    <d v="2015-01-09T00:00:00"/>
    <x v="9"/>
    <x v="1"/>
    <s v="Standard Class"/>
    <s v="VW-21775"/>
    <x v="100"/>
    <s v="Corporate"/>
    <s v="United States"/>
    <s v="Medina"/>
    <x v="24"/>
    <n v="44256"/>
    <s v="East"/>
    <s v="FUR-BO-10004695"/>
    <x v="0"/>
    <x v="0"/>
    <s v="O'Sullivan 2-Door Barrister Bookcase in Odessa Pine"/>
    <n v="452.45"/>
    <n v="5"/>
    <n v="0.5"/>
    <n v="-244.32300000000001"/>
  </r>
  <r>
    <n v="215"/>
    <s v="CA-2015-146262"/>
    <d v="2015-01-02T00:00:00"/>
    <d v="2015-01-09T00:00:00"/>
    <x v="9"/>
    <x v="1"/>
    <s v="Standard Class"/>
    <s v="VW-21775"/>
    <x v="100"/>
    <s v="Corporate"/>
    <s v="United States"/>
    <s v="Medina"/>
    <x v="24"/>
    <n v="44256"/>
    <s v="East"/>
    <s v="TEC-PH-10002844"/>
    <x v="2"/>
    <x v="7"/>
    <s v="Speck Products Candyshell Flip Case"/>
    <n v="62.981999999999999"/>
    <n v="3"/>
    <n v="0.4"/>
    <n v="-14.6958"/>
  </r>
  <r>
    <n v="216"/>
    <s v="CA-2015-146262"/>
    <d v="2015-01-02T00:00:00"/>
    <d v="2015-01-09T00:00:00"/>
    <x v="9"/>
    <x v="1"/>
    <s v="Standard Class"/>
    <s v="VW-21775"/>
    <x v="100"/>
    <s v="Corporate"/>
    <s v="United States"/>
    <s v="Medina"/>
    <x v="24"/>
    <n v="44256"/>
    <s v="East"/>
    <s v="TEC-MA-10000864"/>
    <x v="2"/>
    <x v="15"/>
    <s v="Cisco 9971 IP Video Phone Charcoal"/>
    <n v="1188"/>
    <n v="9"/>
    <n v="0.7"/>
    <n v="-950.4"/>
  </r>
  <r>
    <n v="217"/>
    <s v="CA-2015-146262"/>
    <d v="2015-01-02T00:00:00"/>
    <d v="2015-01-09T00:00:00"/>
    <x v="9"/>
    <x v="1"/>
    <s v="Standard Class"/>
    <s v="VW-21775"/>
    <x v="100"/>
    <s v="Corporate"/>
    <s v="United States"/>
    <s v="Medina"/>
    <x v="24"/>
    <n v="44256"/>
    <s v="East"/>
    <s v="TEC-AC-10000109"/>
    <x v="2"/>
    <x v="11"/>
    <s v="Sony Micro Vault Click 16 GB USB 2.0 Flash Drive"/>
    <n v="89.584000000000003"/>
    <n v="2"/>
    <n v="0.2"/>
    <n v="4.4791999999999996"/>
  </r>
  <r>
    <n v="218"/>
    <s v="CA-2016-130162"/>
    <d v="2016-10-28T00:00:00"/>
    <d v="2016-11-01T00:00:00"/>
    <x v="2"/>
    <x v="0"/>
    <s v="Standard Class"/>
    <s v="JH-15910"/>
    <x v="101"/>
    <s v="Consumer"/>
    <s v="United States"/>
    <s v="Los Angeles"/>
    <x v="1"/>
    <n v="90032"/>
    <s v="West"/>
    <s v="OFF-ST-10001328"/>
    <x v="1"/>
    <x v="4"/>
    <s v="Personal Filing Tote with Lid, Black/Gray"/>
    <n v="93.06"/>
    <n v="6"/>
    <n v="0"/>
    <n v="26.056799999999999"/>
  </r>
  <r>
    <n v="219"/>
    <s v="CA-2016-130162"/>
    <d v="2016-10-28T00:00:00"/>
    <d v="2016-11-01T00:00:00"/>
    <x v="2"/>
    <x v="0"/>
    <s v="Standard Class"/>
    <s v="JH-15910"/>
    <x v="101"/>
    <s v="Consumer"/>
    <s v="United States"/>
    <s v="Los Angeles"/>
    <x v="1"/>
    <n v="90032"/>
    <s v="West"/>
    <s v="TEC-PH-10002563"/>
    <x v="2"/>
    <x v="7"/>
    <s v="Adtran 1202752G1"/>
    <n v="302.37599999999998"/>
    <n v="3"/>
    <n v="0.2"/>
    <n v="22.6782"/>
  </r>
  <r>
    <n v="220"/>
    <s v="CA-2015-169397"/>
    <d v="2015-12-24T00:00:00"/>
    <d v="2015-12-27T00:00:00"/>
    <x v="4"/>
    <x v="1"/>
    <s v="First Class"/>
    <s v="JB-15925"/>
    <x v="102"/>
    <s v="Consumer"/>
    <s v="United States"/>
    <s v="Dublin"/>
    <x v="24"/>
    <n v="43017"/>
    <s v="East"/>
    <s v="OFF-FA-10000585"/>
    <x v="1"/>
    <x v="13"/>
    <s v="OIC Bulk Pack Metal Binder Clips"/>
    <n v="5.5839999999999996"/>
    <n v="2"/>
    <n v="0.2"/>
    <n v="1.8148"/>
  </r>
  <r>
    <n v="221"/>
    <s v="CA-2015-169397"/>
    <d v="2015-12-24T00:00:00"/>
    <d v="2015-12-27T00:00:00"/>
    <x v="4"/>
    <x v="1"/>
    <s v="First Class"/>
    <s v="JB-15925"/>
    <x v="102"/>
    <s v="Consumer"/>
    <s v="United States"/>
    <s v="Dublin"/>
    <x v="24"/>
    <n v="43017"/>
    <s v="East"/>
    <s v="OFF-PA-10004000"/>
    <x v="1"/>
    <x v="10"/>
    <s v="While You Were Out Pads, 50 per Pad, 4 x 5 1/4, Green Cycle"/>
    <n v="22.704000000000001"/>
    <n v="6"/>
    <n v="0.2"/>
    <n v="8.2302"/>
  </r>
  <r>
    <n v="222"/>
    <s v="CA-2015-169397"/>
    <d v="2015-12-24T00:00:00"/>
    <d v="2015-12-27T00:00:00"/>
    <x v="4"/>
    <x v="1"/>
    <s v="First Class"/>
    <s v="JB-15925"/>
    <x v="102"/>
    <s v="Consumer"/>
    <s v="United States"/>
    <s v="Dublin"/>
    <x v="24"/>
    <n v="43017"/>
    <s v="East"/>
    <s v="OFF-BI-10002852"/>
    <x v="1"/>
    <x v="8"/>
    <s v="Ibico Standard Transparent Covers"/>
    <n v="19.776"/>
    <n v="4"/>
    <n v="0.7"/>
    <n v="-13.8432"/>
  </r>
  <r>
    <n v="223"/>
    <s v="CA-2015-169397"/>
    <d v="2015-12-24T00:00:00"/>
    <d v="2015-12-27T00:00:00"/>
    <x v="4"/>
    <x v="1"/>
    <s v="First Class"/>
    <s v="JB-15925"/>
    <x v="102"/>
    <s v="Consumer"/>
    <s v="United States"/>
    <s v="Dublin"/>
    <x v="24"/>
    <n v="43017"/>
    <s v="East"/>
    <s v="FUR-FU-10000087"/>
    <x v="0"/>
    <x v="5"/>
    <s v="Executive Impressions 14&quot; Two-Color Numerals Wall Clock"/>
    <n v="72.703999999999994"/>
    <n v="4"/>
    <n v="0.2"/>
    <n v="19.084800000000001"/>
  </r>
  <r>
    <n v="224"/>
    <s v="CA-2015-169397"/>
    <d v="2015-12-24T00:00:00"/>
    <d v="2015-12-27T00:00:00"/>
    <x v="4"/>
    <x v="1"/>
    <s v="First Class"/>
    <s v="JB-15925"/>
    <x v="102"/>
    <s v="Consumer"/>
    <s v="United States"/>
    <s v="Dublin"/>
    <x v="24"/>
    <n v="43017"/>
    <s v="East"/>
    <s v="TEC-MA-10001148"/>
    <x v="2"/>
    <x v="15"/>
    <s v="Swingline SM12-08 MicroCut Jam Free Shredder"/>
    <n v="479.988"/>
    <n v="4"/>
    <n v="0.7"/>
    <n v="-383.99040000000002"/>
  </r>
  <r>
    <n v="225"/>
    <s v="CA-2015-169397"/>
    <d v="2015-12-24T00:00:00"/>
    <d v="2015-12-27T00:00:00"/>
    <x v="4"/>
    <x v="1"/>
    <s v="First Class"/>
    <s v="JB-15925"/>
    <x v="102"/>
    <s v="Consumer"/>
    <s v="United States"/>
    <s v="Dublin"/>
    <x v="24"/>
    <n v="43017"/>
    <s v="East"/>
    <s v="OFF-AR-10001958"/>
    <x v="1"/>
    <x v="6"/>
    <s v="Stanley Bostitch Contemporary Electric Pencil Sharpeners"/>
    <n v="27.167999999999999"/>
    <n v="2"/>
    <n v="0.2"/>
    <n v="2.7168000000000001"/>
  </r>
  <r>
    <n v="226"/>
    <s v="CA-2015-163055"/>
    <d v="2015-08-09T00:00:00"/>
    <d v="2015-08-16T00:00:00"/>
    <x v="6"/>
    <x v="1"/>
    <s v="Standard Class"/>
    <s v="DS-13180"/>
    <x v="103"/>
    <s v="Corporate"/>
    <s v="United States"/>
    <s v="Detroit"/>
    <x v="12"/>
    <n v="48227"/>
    <s v="Central"/>
    <s v="OFF-AR-10001026"/>
    <x v="1"/>
    <x v="6"/>
    <s v="Sanford Uni-Blazer View Highlighters, Chisel Tip, Yellow"/>
    <n v="2.2000000000000002"/>
    <n v="1"/>
    <n v="0"/>
    <n v="0.96799999999999997"/>
  </r>
  <r>
    <n v="227"/>
    <s v="CA-2015-163055"/>
    <d v="2015-08-09T00:00:00"/>
    <d v="2015-08-16T00:00:00"/>
    <x v="6"/>
    <x v="1"/>
    <s v="Standard Class"/>
    <s v="DS-13180"/>
    <x v="103"/>
    <s v="Corporate"/>
    <s v="United States"/>
    <s v="Detroit"/>
    <x v="12"/>
    <n v="48227"/>
    <s v="Central"/>
    <s v="FUR-TA-10003748"/>
    <x v="0"/>
    <x v="3"/>
    <s v="Bevis 36 x 72 Conference Tables"/>
    <n v="622.45000000000005"/>
    <n v="5"/>
    <n v="0"/>
    <n v="136.93899999999999"/>
  </r>
  <r>
    <n v="228"/>
    <s v="CA-2015-163055"/>
    <d v="2015-08-09T00:00:00"/>
    <d v="2015-08-16T00:00:00"/>
    <x v="6"/>
    <x v="1"/>
    <s v="Standard Class"/>
    <s v="DS-13180"/>
    <x v="103"/>
    <s v="Corporate"/>
    <s v="United States"/>
    <s v="Detroit"/>
    <x v="12"/>
    <n v="48227"/>
    <s v="Central"/>
    <s v="OFF-ST-10002485"/>
    <x v="1"/>
    <x v="4"/>
    <s v="Rogers Deluxe File Chest"/>
    <n v="21.98"/>
    <n v="1"/>
    <n v="0"/>
    <n v="0.2198"/>
  </r>
  <r>
    <n v="229"/>
    <s v="US-2015-145436"/>
    <d v="2015-02-28T00:00:00"/>
    <d v="2015-03-04T00:00:00"/>
    <x v="11"/>
    <x v="1"/>
    <s v="Standard Class"/>
    <s v="VD-21670"/>
    <x v="104"/>
    <s v="Consumer"/>
    <s v="United States"/>
    <s v="Columbia"/>
    <x v="18"/>
    <n v="38401"/>
    <s v="South"/>
    <s v="FUR-CH-10004860"/>
    <x v="0"/>
    <x v="1"/>
    <s v="Global Low Back Tilter Chair"/>
    <n v="161.56800000000001"/>
    <n v="2"/>
    <n v="0.2"/>
    <n v="-28.2744"/>
  </r>
  <r>
    <n v="230"/>
    <s v="US-2015-145436"/>
    <d v="2015-02-28T00:00:00"/>
    <d v="2015-03-04T00:00:00"/>
    <x v="11"/>
    <x v="1"/>
    <s v="Standard Class"/>
    <s v="VD-21670"/>
    <x v="104"/>
    <s v="Consumer"/>
    <s v="United States"/>
    <s v="Columbia"/>
    <x v="18"/>
    <n v="38401"/>
    <s v="South"/>
    <s v="FUR-CH-10004477"/>
    <x v="0"/>
    <x v="1"/>
    <s v="Global Push Button Manager's Chair, Indigo"/>
    <n v="389.69600000000003"/>
    <n v="8"/>
    <n v="0.2"/>
    <n v="43.840800000000002"/>
  </r>
  <r>
    <n v="231"/>
    <s v="US-2014-156216"/>
    <d v="2014-09-13T00:00:00"/>
    <d v="2014-09-17T00:00:00"/>
    <x v="8"/>
    <x v="2"/>
    <s v="Standard Class"/>
    <s v="EA-14035"/>
    <x v="105"/>
    <s v="Corporate"/>
    <s v="United States"/>
    <s v="Charlotte"/>
    <x v="3"/>
    <n v="28205"/>
    <s v="South"/>
    <s v="OFF-BI-10001679"/>
    <x v="1"/>
    <x v="8"/>
    <s v="GBC Instant Index System for Binding Systems"/>
    <n v="18.648"/>
    <n v="7"/>
    <n v="0.7"/>
    <n v="-12.432"/>
  </r>
  <r>
    <n v="232"/>
    <s v="US-2017-100930"/>
    <d v="2017-04-07T00:00:00"/>
    <d v="2017-04-12T00:00:00"/>
    <x v="3"/>
    <x v="3"/>
    <s v="Standard Class"/>
    <s v="CS-12400"/>
    <x v="37"/>
    <s v="Home Office"/>
    <s v="United States"/>
    <s v="Tampa"/>
    <x v="2"/>
    <n v="33614"/>
    <s v="South"/>
    <s v="FUR-TA-10001705"/>
    <x v="0"/>
    <x v="3"/>
    <s v="Bush Advantage Collection Round Conference Table"/>
    <n v="233.86"/>
    <n v="2"/>
    <n v="0.45"/>
    <n v="-102.048"/>
  </r>
  <r>
    <n v="233"/>
    <s v="US-2017-100930"/>
    <d v="2017-04-07T00:00:00"/>
    <d v="2017-04-12T00:00:00"/>
    <x v="3"/>
    <x v="3"/>
    <s v="Standard Class"/>
    <s v="CS-12400"/>
    <x v="37"/>
    <s v="Home Office"/>
    <s v="United States"/>
    <s v="Tampa"/>
    <x v="2"/>
    <n v="33614"/>
    <s v="South"/>
    <s v="FUR-TA-10003473"/>
    <x v="0"/>
    <x v="3"/>
    <s v="Bretford Rectangular Conference Table Tops"/>
    <n v="620.61450000000002"/>
    <n v="3"/>
    <n v="0.45"/>
    <n v="-248.2458"/>
  </r>
  <r>
    <n v="234"/>
    <s v="US-2017-100930"/>
    <d v="2017-04-07T00:00:00"/>
    <d v="2017-04-12T00:00:00"/>
    <x v="3"/>
    <x v="3"/>
    <s v="Standard Class"/>
    <s v="CS-12400"/>
    <x v="37"/>
    <s v="Home Office"/>
    <s v="United States"/>
    <s v="Tampa"/>
    <x v="2"/>
    <n v="33614"/>
    <s v="South"/>
    <s v="OFF-BI-10001679"/>
    <x v="1"/>
    <x v="8"/>
    <s v="GBC Instant Index System for Binding Systems"/>
    <n v="5.3280000000000003"/>
    <n v="2"/>
    <n v="0.7"/>
    <n v="-3.552"/>
  </r>
  <r>
    <n v="235"/>
    <s v="US-2017-100930"/>
    <d v="2017-04-07T00:00:00"/>
    <d v="2017-04-12T00:00:00"/>
    <x v="3"/>
    <x v="3"/>
    <s v="Standard Class"/>
    <s v="CS-12400"/>
    <x v="37"/>
    <s v="Home Office"/>
    <s v="United States"/>
    <s v="Tampa"/>
    <x v="2"/>
    <n v="33614"/>
    <s v="South"/>
    <s v="FUR-FU-10004017"/>
    <x v="0"/>
    <x v="5"/>
    <s v="Tenex Contemporary Contur Chairmats for Low and Medium Pile Carpet, Computer, 39&quot; x 49&quot;"/>
    <n v="258.072"/>
    <n v="3"/>
    <n v="0.2"/>
    <n v="0"/>
  </r>
  <r>
    <n v="236"/>
    <s v="US-2017-100930"/>
    <d v="2017-04-07T00:00:00"/>
    <d v="2017-04-12T00:00:00"/>
    <x v="3"/>
    <x v="3"/>
    <s v="Standard Class"/>
    <s v="CS-12400"/>
    <x v="37"/>
    <s v="Home Office"/>
    <s v="United States"/>
    <s v="Tampa"/>
    <x v="2"/>
    <n v="33614"/>
    <s v="South"/>
    <s v="TEC-AC-10003832"/>
    <x v="2"/>
    <x v="11"/>
    <s v="Logitech P710e Mobile Speakerphone"/>
    <n v="617.976"/>
    <n v="3"/>
    <n v="0.2"/>
    <n v="-7.7247000000000003"/>
  </r>
  <r>
    <n v="237"/>
    <s v="CA-2017-160514"/>
    <d v="2017-11-12T00:00:00"/>
    <d v="2017-11-16T00:00:00"/>
    <x v="0"/>
    <x v="3"/>
    <s v="Standard Class"/>
    <s v="DB-13120"/>
    <x v="106"/>
    <s v="Corporate"/>
    <s v="United States"/>
    <s v="Santa Clara"/>
    <x v="1"/>
    <n v="95051"/>
    <s v="West"/>
    <s v="OFF-PA-10002479"/>
    <x v="1"/>
    <x v="10"/>
    <s v="Xerox 4200 Series MultiUse Premium Copy Paper (20Lb. and 84 Bright)"/>
    <n v="10.56"/>
    <n v="2"/>
    <n v="0"/>
    <n v="4.7519999999999998"/>
  </r>
  <r>
    <n v="238"/>
    <s v="CA-2016-157749"/>
    <d v="2016-06-04T00:00:00"/>
    <d v="2016-06-09T00:00:00"/>
    <x v="1"/>
    <x v="0"/>
    <s v="Second Class"/>
    <s v="KL-16645"/>
    <x v="107"/>
    <s v="Consumer"/>
    <s v="United States"/>
    <s v="Chicago"/>
    <x v="10"/>
    <n v="60610"/>
    <s v="Central"/>
    <s v="OFF-PA-10003349"/>
    <x v="1"/>
    <x v="10"/>
    <s v="Xerox 1957"/>
    <n v="25.92"/>
    <n v="5"/>
    <n v="0.2"/>
    <n v="9.3960000000000008"/>
  </r>
  <r>
    <n v="239"/>
    <s v="CA-2016-157749"/>
    <d v="2016-06-04T00:00:00"/>
    <d v="2016-06-09T00:00:00"/>
    <x v="1"/>
    <x v="0"/>
    <s v="Second Class"/>
    <s v="KL-16645"/>
    <x v="107"/>
    <s v="Consumer"/>
    <s v="United States"/>
    <s v="Chicago"/>
    <x v="10"/>
    <n v="60610"/>
    <s v="Central"/>
    <s v="FUR-FU-10000576"/>
    <x v="0"/>
    <x v="5"/>
    <s v="Luxo Professional Fluorescent Magnifier Lamp with Clamp-Mount Base"/>
    <n v="419.68"/>
    <n v="5"/>
    <n v="0.6"/>
    <n v="-356.72800000000001"/>
  </r>
  <r>
    <n v="240"/>
    <s v="CA-2016-157749"/>
    <d v="2016-06-04T00:00:00"/>
    <d v="2016-06-09T00:00:00"/>
    <x v="1"/>
    <x v="0"/>
    <s v="Second Class"/>
    <s v="KL-16645"/>
    <x v="107"/>
    <s v="Consumer"/>
    <s v="United States"/>
    <s v="Chicago"/>
    <x v="10"/>
    <n v="60610"/>
    <s v="Central"/>
    <s v="FUR-FU-10004351"/>
    <x v="0"/>
    <x v="5"/>
    <s v="Staple-based wall hangings"/>
    <n v="11.688000000000001"/>
    <n v="3"/>
    <n v="0.6"/>
    <n v="-4.6752000000000002"/>
  </r>
  <r>
    <n v="241"/>
    <s v="CA-2016-157749"/>
    <d v="2016-06-04T00:00:00"/>
    <d v="2016-06-09T00:00:00"/>
    <x v="1"/>
    <x v="0"/>
    <s v="Second Class"/>
    <s v="KL-16645"/>
    <x v="107"/>
    <s v="Consumer"/>
    <s v="United States"/>
    <s v="Chicago"/>
    <x v="10"/>
    <n v="60610"/>
    <s v="Central"/>
    <s v="TEC-PH-10000011"/>
    <x v="2"/>
    <x v="7"/>
    <s v="PureGear Roll-On Screen Protector"/>
    <n v="31.984000000000002"/>
    <n v="2"/>
    <n v="0.2"/>
    <n v="11.1944"/>
  </r>
  <r>
    <n v="242"/>
    <s v="CA-2016-157749"/>
    <d v="2016-06-04T00:00:00"/>
    <d v="2016-06-09T00:00:00"/>
    <x v="1"/>
    <x v="0"/>
    <s v="Second Class"/>
    <s v="KL-16645"/>
    <x v="107"/>
    <s v="Consumer"/>
    <s v="United States"/>
    <s v="Chicago"/>
    <x v="10"/>
    <n v="60610"/>
    <s v="Central"/>
    <s v="FUR-TA-10002607"/>
    <x v="0"/>
    <x v="3"/>
    <s v="KI Conference Tables"/>
    <n v="177.22499999999999"/>
    <n v="5"/>
    <n v="0.5"/>
    <n v="-120.51300000000001"/>
  </r>
  <r>
    <n v="243"/>
    <s v="CA-2016-157749"/>
    <d v="2016-06-04T00:00:00"/>
    <d v="2016-06-09T00:00:00"/>
    <x v="1"/>
    <x v="0"/>
    <s v="Second Class"/>
    <s v="KL-16645"/>
    <x v="107"/>
    <s v="Consumer"/>
    <s v="United States"/>
    <s v="Chicago"/>
    <x v="10"/>
    <n v="60610"/>
    <s v="Central"/>
    <s v="FUR-FU-10002505"/>
    <x v="0"/>
    <x v="5"/>
    <s v="Eldon 100 Class Desk Accessories"/>
    <n v="4.0439999999999996"/>
    <n v="3"/>
    <n v="0.6"/>
    <n v="-2.8308"/>
  </r>
  <r>
    <n v="244"/>
    <s v="CA-2016-157749"/>
    <d v="2016-06-04T00:00:00"/>
    <d v="2016-06-09T00:00:00"/>
    <x v="1"/>
    <x v="0"/>
    <s v="Second Class"/>
    <s v="KL-16645"/>
    <x v="107"/>
    <s v="Consumer"/>
    <s v="United States"/>
    <s v="Chicago"/>
    <x v="10"/>
    <n v="60610"/>
    <s v="Central"/>
    <s v="OFF-AR-10004685"/>
    <x v="1"/>
    <x v="6"/>
    <s v="Binney &amp; Smith Crayola Metallic Colored Pencils, 8-Color Set"/>
    <n v="7.4080000000000004"/>
    <n v="2"/>
    <n v="0.2"/>
    <n v="1.2038"/>
  </r>
  <r>
    <n v="245"/>
    <s v="CA-2014-131926"/>
    <d v="2014-06-01T00:00:00"/>
    <d v="2014-06-06T00:00:00"/>
    <x v="1"/>
    <x v="2"/>
    <s v="Second Class"/>
    <s v="DW-13480"/>
    <x v="108"/>
    <s v="Home Office"/>
    <s v="United States"/>
    <s v="Lakeville"/>
    <x v="11"/>
    <n v="55044"/>
    <s v="Central"/>
    <s v="FUR-CH-10004063"/>
    <x v="0"/>
    <x v="1"/>
    <s v="Global Deluxe High-Back Manager's Chair"/>
    <n v="2001.86"/>
    <n v="7"/>
    <n v="0"/>
    <n v="580.5394"/>
  </r>
  <r>
    <n v="246"/>
    <s v="CA-2014-131926"/>
    <d v="2014-06-01T00:00:00"/>
    <d v="2014-06-06T00:00:00"/>
    <x v="1"/>
    <x v="2"/>
    <s v="Second Class"/>
    <s v="DW-13480"/>
    <x v="108"/>
    <s v="Home Office"/>
    <s v="United States"/>
    <s v="Lakeville"/>
    <x v="11"/>
    <n v="55044"/>
    <s v="Central"/>
    <s v="OFF-ST-10002276"/>
    <x v="1"/>
    <x v="4"/>
    <s v="Safco Steel Mobile File Cart"/>
    <n v="166.72"/>
    <n v="2"/>
    <n v="0"/>
    <n v="41.68"/>
  </r>
  <r>
    <n v="247"/>
    <s v="CA-2014-131926"/>
    <d v="2014-06-01T00:00:00"/>
    <d v="2014-06-06T00:00:00"/>
    <x v="1"/>
    <x v="2"/>
    <s v="Second Class"/>
    <s v="DW-13480"/>
    <x v="108"/>
    <s v="Home Office"/>
    <s v="United States"/>
    <s v="Lakeville"/>
    <x v="11"/>
    <n v="55044"/>
    <s v="Central"/>
    <s v="OFF-PA-10004082"/>
    <x v="1"/>
    <x v="10"/>
    <s v="Adams Telephone Message Book w/Frequently-Called Numbers Space, 400 Messages per Book"/>
    <n v="47.88"/>
    <n v="6"/>
    <n v="0"/>
    <n v="23.94"/>
  </r>
  <r>
    <n v="248"/>
    <s v="CA-2014-131926"/>
    <d v="2014-06-01T00:00:00"/>
    <d v="2014-06-06T00:00:00"/>
    <x v="1"/>
    <x v="2"/>
    <s v="Second Class"/>
    <s v="DW-13480"/>
    <x v="108"/>
    <s v="Home Office"/>
    <s v="United States"/>
    <s v="Lakeville"/>
    <x v="11"/>
    <n v="55044"/>
    <s v="Central"/>
    <s v="OFF-AP-10002945"/>
    <x v="1"/>
    <x v="9"/>
    <s v="Honeywell Enviracaire Portable HEPA Air Cleaner for 17' x 22' Room"/>
    <n v="1503.25"/>
    <n v="5"/>
    <n v="0"/>
    <n v="496.07249999999999"/>
  </r>
  <r>
    <n v="249"/>
    <s v="CA-2014-131926"/>
    <d v="2014-06-01T00:00:00"/>
    <d v="2014-06-06T00:00:00"/>
    <x v="1"/>
    <x v="2"/>
    <s v="Second Class"/>
    <s v="DW-13480"/>
    <x v="108"/>
    <s v="Home Office"/>
    <s v="United States"/>
    <s v="Lakeville"/>
    <x v="11"/>
    <n v="55044"/>
    <s v="Central"/>
    <s v="OFF-PA-10000061"/>
    <x v="1"/>
    <x v="10"/>
    <s v="Xerox 205"/>
    <n v="25.92"/>
    <n v="4"/>
    <n v="0"/>
    <n v="12.441599999999999"/>
  </r>
  <r>
    <n v="250"/>
    <s v="CA-2016-154739"/>
    <d v="2016-12-10T00:00:00"/>
    <d v="2016-12-15T00:00:00"/>
    <x v="4"/>
    <x v="0"/>
    <s v="Second Class"/>
    <s v="LH-17155"/>
    <x v="109"/>
    <s v="Consumer"/>
    <s v="United States"/>
    <s v="San Francisco"/>
    <x v="1"/>
    <n v="94109"/>
    <s v="West"/>
    <s v="FUR-CH-10002965"/>
    <x v="0"/>
    <x v="1"/>
    <s v="Global Leather Highback Executive Chair with Pneumatic Height Adjustment, Black"/>
    <n v="321.56799999999998"/>
    <n v="2"/>
    <n v="0.2"/>
    <n v="28.1372"/>
  </r>
  <r>
    <n v="251"/>
    <s v="CA-2016-145625"/>
    <d v="2016-09-11T00:00:00"/>
    <d v="2016-09-17T00:00:00"/>
    <x v="8"/>
    <x v="0"/>
    <s v="Standard Class"/>
    <s v="KC-16540"/>
    <x v="110"/>
    <s v="Consumer"/>
    <s v="United States"/>
    <s v="San Diego"/>
    <x v="1"/>
    <n v="92037"/>
    <s v="West"/>
    <s v="OFF-PA-10004569"/>
    <x v="1"/>
    <x v="10"/>
    <s v="Wirebound Message Books, Two 4 1/4&quot; x 5&quot; Forms per Page"/>
    <n v="7.61"/>
    <n v="1"/>
    <n v="0"/>
    <n v="3.5767000000000002"/>
  </r>
  <r>
    <n v="252"/>
    <s v="CA-2016-145625"/>
    <d v="2016-09-11T00:00:00"/>
    <d v="2016-09-17T00:00:00"/>
    <x v="8"/>
    <x v="0"/>
    <s v="Standard Class"/>
    <s v="KC-16540"/>
    <x v="110"/>
    <s v="Consumer"/>
    <s v="United States"/>
    <s v="San Diego"/>
    <x v="1"/>
    <n v="92037"/>
    <s v="West"/>
    <s v="TEC-AC-10003832"/>
    <x v="2"/>
    <x v="11"/>
    <s v="Logitech P710e Mobile Speakerphone"/>
    <n v="3347.37"/>
    <n v="13"/>
    <n v="0"/>
    <n v="636.00030000000004"/>
  </r>
  <r>
    <n v="253"/>
    <s v="CA-2016-146941"/>
    <d v="2016-12-10T00:00:00"/>
    <d v="2016-12-13T00:00:00"/>
    <x v="4"/>
    <x v="0"/>
    <s v="First Class"/>
    <s v="DL-13315"/>
    <x v="111"/>
    <s v="Consumer"/>
    <s v="United States"/>
    <s v="New York City"/>
    <x v="15"/>
    <n v="10024"/>
    <s v="East"/>
    <s v="OFF-ST-10001228"/>
    <x v="1"/>
    <x v="4"/>
    <s v="Fellowes Personal Hanging Folder Files, Navy"/>
    <n v="80.58"/>
    <n v="6"/>
    <n v="0"/>
    <n v="22.5624"/>
  </r>
  <r>
    <n v="254"/>
    <s v="CA-2016-146941"/>
    <d v="2016-12-10T00:00:00"/>
    <d v="2016-12-13T00:00:00"/>
    <x v="4"/>
    <x v="0"/>
    <s v="First Class"/>
    <s v="DL-13315"/>
    <x v="111"/>
    <s v="Consumer"/>
    <s v="United States"/>
    <s v="New York City"/>
    <x v="15"/>
    <n v="10024"/>
    <s v="East"/>
    <s v="OFF-EN-10003296"/>
    <x v="1"/>
    <x v="12"/>
    <s v="Tyvek Side-Opening Peel &amp; Seel Expanding Envelopes"/>
    <n v="361.92"/>
    <n v="4"/>
    <n v="0"/>
    <n v="162.864"/>
  </r>
  <r>
    <n v="255"/>
    <s v="US-2015-159982"/>
    <d v="2015-11-28T00:00:00"/>
    <d v="2015-12-04T00:00:00"/>
    <x v="0"/>
    <x v="1"/>
    <s v="Standard Class"/>
    <s v="DR-12880"/>
    <x v="112"/>
    <s v="Corporate"/>
    <s v="United States"/>
    <s v="Chicago"/>
    <x v="10"/>
    <n v="60623"/>
    <s v="Central"/>
    <s v="FUR-FU-10002505"/>
    <x v="0"/>
    <x v="5"/>
    <s v="Eldon 100 Class Desk Accessories"/>
    <n v="12.132"/>
    <n v="9"/>
    <n v="0.6"/>
    <n v="-8.4923999999999999"/>
  </r>
  <r>
    <n v="256"/>
    <s v="US-2015-159982"/>
    <d v="2015-11-28T00:00:00"/>
    <d v="2015-12-04T00:00:00"/>
    <x v="0"/>
    <x v="1"/>
    <s v="Standard Class"/>
    <s v="DR-12880"/>
    <x v="112"/>
    <s v="Corporate"/>
    <s v="United States"/>
    <s v="Chicago"/>
    <x v="10"/>
    <n v="60623"/>
    <s v="Central"/>
    <s v="OFF-ST-10004804"/>
    <x v="1"/>
    <x v="4"/>
    <s v="Belkin 19&quot; Vented Equipment Shelf, Black"/>
    <n v="82.367999999999995"/>
    <n v="2"/>
    <n v="0.2"/>
    <n v="-19.5624"/>
  </r>
  <r>
    <n v="257"/>
    <s v="US-2015-159982"/>
    <d v="2015-11-28T00:00:00"/>
    <d v="2015-12-04T00:00:00"/>
    <x v="0"/>
    <x v="1"/>
    <s v="Standard Class"/>
    <s v="DR-12880"/>
    <x v="112"/>
    <s v="Corporate"/>
    <s v="United States"/>
    <s v="Chicago"/>
    <x v="10"/>
    <n v="60623"/>
    <s v="Central"/>
    <s v="OFF-ST-10001590"/>
    <x v="1"/>
    <x v="4"/>
    <s v="Tenex Personal Project File with Scoop Front Design, Black"/>
    <n v="53.92"/>
    <n v="5"/>
    <n v="0.2"/>
    <n v="4.0439999999999996"/>
  </r>
  <r>
    <n v="258"/>
    <s v="US-2015-159982"/>
    <d v="2015-11-28T00:00:00"/>
    <d v="2015-12-04T00:00:00"/>
    <x v="0"/>
    <x v="1"/>
    <s v="Standard Class"/>
    <s v="DR-12880"/>
    <x v="112"/>
    <s v="Corporate"/>
    <s v="United States"/>
    <s v="Chicago"/>
    <x v="10"/>
    <n v="60623"/>
    <s v="Central"/>
    <s v="TEC-PH-10001580"/>
    <x v="2"/>
    <x v="7"/>
    <s v="Logitech Mobile Speakerphone P710e - speaker phone"/>
    <n v="647.904"/>
    <n v="6"/>
    <n v="0.2"/>
    <n v="56.691600000000001"/>
  </r>
  <r>
    <n v="259"/>
    <s v="CA-2017-163139"/>
    <d v="2017-12-01T00:00:00"/>
    <d v="2017-12-03T00:00:00"/>
    <x v="4"/>
    <x v="3"/>
    <s v="Second Class"/>
    <s v="CC-12670"/>
    <x v="113"/>
    <s v="Consumer"/>
    <s v="United States"/>
    <s v="New York City"/>
    <x v="15"/>
    <n v="10009"/>
    <s v="East"/>
    <s v="TEC-AC-10000290"/>
    <x v="2"/>
    <x v="11"/>
    <s v="Sabrent 4-Port USB 2.0 Hub"/>
    <n v="20.37"/>
    <n v="3"/>
    <n v="0"/>
    <n v="6.9257999999999997"/>
  </r>
  <r>
    <n v="260"/>
    <s v="CA-2017-163139"/>
    <d v="2017-12-01T00:00:00"/>
    <d v="2017-12-03T00:00:00"/>
    <x v="4"/>
    <x v="3"/>
    <s v="Second Class"/>
    <s v="CC-12670"/>
    <x v="113"/>
    <s v="Consumer"/>
    <s v="United States"/>
    <s v="New York City"/>
    <x v="15"/>
    <n v="10009"/>
    <s v="East"/>
    <s v="OFF-ST-10002790"/>
    <x v="1"/>
    <x v="4"/>
    <s v="Safco Industrial Shelving"/>
    <n v="221.55"/>
    <n v="3"/>
    <n v="0"/>
    <n v="6.6464999999999996"/>
  </r>
  <r>
    <n v="261"/>
    <s v="CA-2017-163139"/>
    <d v="2017-12-01T00:00:00"/>
    <d v="2017-12-03T00:00:00"/>
    <x v="4"/>
    <x v="3"/>
    <s v="Second Class"/>
    <s v="CC-12670"/>
    <x v="113"/>
    <s v="Consumer"/>
    <s v="United States"/>
    <s v="New York City"/>
    <x v="15"/>
    <n v="10009"/>
    <s v="East"/>
    <s v="OFF-BI-10003460"/>
    <x v="1"/>
    <x v="8"/>
    <s v="Acco 3-Hole Punch"/>
    <n v="17.52"/>
    <n v="5"/>
    <n v="0.2"/>
    <n v="6.1319999999999997"/>
  </r>
  <r>
    <n v="262"/>
    <s v="US-2017-155299"/>
    <d v="2017-06-08T00:00:00"/>
    <d v="2017-06-12T00:00:00"/>
    <x v="1"/>
    <x v="3"/>
    <s v="Standard Class"/>
    <s v="Dl-13600"/>
    <x v="114"/>
    <s v="Corporate"/>
    <s v="United States"/>
    <s v="Pasadena"/>
    <x v="5"/>
    <n v="77506"/>
    <s v="Central"/>
    <s v="OFF-AP-10002203"/>
    <x v="1"/>
    <x v="9"/>
    <s v="Eureka Disposable Bags for Sanitaire Vibra Groomer I Upright Vac"/>
    <n v="1.6240000000000001"/>
    <n v="2"/>
    <n v="0.8"/>
    <n v="-4.4660000000000002"/>
  </r>
  <r>
    <n v="263"/>
    <s v="US-2014-106992"/>
    <d v="2014-09-19T00:00:00"/>
    <d v="2014-09-21T00:00:00"/>
    <x v="8"/>
    <x v="2"/>
    <s v="Second Class"/>
    <s v="SB-20290"/>
    <x v="115"/>
    <s v="Corporate"/>
    <s v="United States"/>
    <s v="Houston"/>
    <x v="5"/>
    <n v="77036"/>
    <s v="Central"/>
    <s v="TEC-MA-10000822"/>
    <x v="2"/>
    <x v="15"/>
    <s v="Lexmark MX611dhe Monochrome Laser Printer"/>
    <n v="3059.982"/>
    <n v="3"/>
    <n v="0.4"/>
    <n v="-509.99700000000001"/>
  </r>
  <r>
    <n v="264"/>
    <s v="US-2014-106992"/>
    <d v="2014-09-19T00:00:00"/>
    <d v="2014-09-21T00:00:00"/>
    <x v="8"/>
    <x v="2"/>
    <s v="Second Class"/>
    <s v="SB-20290"/>
    <x v="115"/>
    <s v="Corporate"/>
    <s v="United States"/>
    <s v="Houston"/>
    <x v="5"/>
    <n v="77036"/>
    <s v="Central"/>
    <s v="TEC-MA-10003353"/>
    <x v="2"/>
    <x v="15"/>
    <s v="Xerox WorkCentre 6505DN Laser Multifunction Printer"/>
    <n v="2519.9580000000001"/>
    <n v="7"/>
    <n v="0.4"/>
    <n v="-251.9958"/>
  </r>
  <r>
    <n v="265"/>
    <s v="CA-2016-125318"/>
    <d v="2016-06-06T00:00:00"/>
    <d v="2016-06-13T00:00:00"/>
    <x v="1"/>
    <x v="0"/>
    <s v="Standard Class"/>
    <s v="RC-19825"/>
    <x v="116"/>
    <s v="Consumer"/>
    <s v="United States"/>
    <s v="Chicago"/>
    <x v="10"/>
    <n v="60610"/>
    <s v="Central"/>
    <s v="TEC-PH-10001433"/>
    <x v="2"/>
    <x v="7"/>
    <s v="Cisco Small Business SPA 502G VoIP phone"/>
    <n v="328.22399999999999"/>
    <n v="4"/>
    <n v="0.2"/>
    <n v="28.7196"/>
  </r>
  <r>
    <n v="266"/>
    <s v="CA-2015-155040"/>
    <d v="2015-11-10T00:00:00"/>
    <d v="2015-11-15T00:00:00"/>
    <x v="0"/>
    <x v="1"/>
    <s v="Standard Class"/>
    <s v="AH-10210"/>
    <x v="117"/>
    <s v="Consumer"/>
    <s v="United States"/>
    <s v="Brentwood"/>
    <x v="1"/>
    <n v="94513"/>
    <s v="West"/>
    <s v="TEC-AC-10004469"/>
    <x v="2"/>
    <x v="11"/>
    <s v="Microsoft Sculpt Comfort Mouse"/>
    <n v="79.900000000000006"/>
    <n v="2"/>
    <n v="0"/>
    <n v="35.155999999999999"/>
  </r>
  <r>
    <n v="267"/>
    <s v="CA-2017-136826"/>
    <d v="2017-06-16T00:00:00"/>
    <d v="2017-06-20T00:00:00"/>
    <x v="1"/>
    <x v="3"/>
    <s v="Standard Class"/>
    <s v="CB-12535"/>
    <x v="118"/>
    <s v="Corporate"/>
    <s v="United States"/>
    <s v="Chapel Hill"/>
    <x v="3"/>
    <n v="27514"/>
    <s v="South"/>
    <s v="OFF-AR-10003602"/>
    <x v="1"/>
    <x v="6"/>
    <s v="Quartet Omega Colored Chalk, 12/Pack"/>
    <n v="14.016"/>
    <n v="3"/>
    <n v="0.2"/>
    <n v="4.7304000000000004"/>
  </r>
  <r>
    <n v="268"/>
    <s v="CA-2016-111010"/>
    <d v="2016-01-22T00:00:00"/>
    <d v="2016-01-28T00:00:00"/>
    <x v="9"/>
    <x v="0"/>
    <s v="Standard Class"/>
    <s v="PG-18895"/>
    <x v="38"/>
    <s v="Consumer"/>
    <s v="United States"/>
    <s v="Morristown"/>
    <x v="30"/>
    <n v="7960"/>
    <s v="East"/>
    <s v="OFF-FA-10003472"/>
    <x v="1"/>
    <x v="13"/>
    <s v="Bagged Rubber Bands"/>
    <n v="7.56"/>
    <n v="6"/>
    <n v="0"/>
    <n v="0.3024"/>
  </r>
  <r>
    <n v="269"/>
    <s v="US-2017-145366"/>
    <d v="2017-12-09T00:00:00"/>
    <d v="2017-12-13T00:00:00"/>
    <x v="4"/>
    <x v="3"/>
    <s v="Standard Class"/>
    <s v="CA-12310"/>
    <x v="119"/>
    <s v="Corporate"/>
    <s v="United States"/>
    <s v="Cincinnati"/>
    <x v="24"/>
    <n v="45231"/>
    <s v="East"/>
    <s v="OFF-ST-10004180"/>
    <x v="1"/>
    <x v="4"/>
    <s v="Safco Commercial Shelving"/>
    <n v="37.207999999999998"/>
    <n v="1"/>
    <n v="0.2"/>
    <n v="-7.4416000000000002"/>
  </r>
  <r>
    <n v="270"/>
    <s v="US-2017-145366"/>
    <d v="2017-12-09T00:00:00"/>
    <d v="2017-12-13T00:00:00"/>
    <x v="4"/>
    <x v="3"/>
    <s v="Standard Class"/>
    <s v="CA-12310"/>
    <x v="119"/>
    <s v="Corporate"/>
    <s v="United States"/>
    <s v="Cincinnati"/>
    <x v="24"/>
    <n v="45231"/>
    <s v="East"/>
    <s v="OFF-EN-10004386"/>
    <x v="1"/>
    <x v="12"/>
    <s v="Recycled Interoffice Envelopes with String and Button Closure, 10 x 13"/>
    <n v="57.576000000000001"/>
    <n v="3"/>
    <n v="0.2"/>
    <n v="21.591000000000001"/>
  </r>
  <r>
    <n v="271"/>
    <s v="CA-2017-163979"/>
    <d v="2017-12-28T00:00:00"/>
    <d v="2018-01-02T00:00:00"/>
    <x v="4"/>
    <x v="3"/>
    <s v="Second Class"/>
    <s v="KH-16690"/>
    <x v="120"/>
    <s v="Corporate"/>
    <s v="United States"/>
    <s v="San Francisco"/>
    <x v="1"/>
    <n v="94110"/>
    <s v="West"/>
    <s v="OFF-ST-10003208"/>
    <x v="1"/>
    <x v="4"/>
    <s v="Adjustable Depth Letter/Legal Cart"/>
    <n v="725.84"/>
    <n v="4"/>
    <n v="0"/>
    <n v="210.49359999999999"/>
  </r>
  <r>
    <n v="272"/>
    <s v="CA-2015-155334"/>
    <d v="2015-07-30T00:00:00"/>
    <d v="2015-07-31T00:00:00"/>
    <x v="7"/>
    <x v="1"/>
    <s v="First Class"/>
    <s v="HA-14920"/>
    <x v="66"/>
    <s v="Consumer"/>
    <s v="United States"/>
    <s v="San Francisco"/>
    <x v="1"/>
    <n v="94109"/>
    <s v="West"/>
    <s v="TEC-AC-10003628"/>
    <x v="2"/>
    <x v="11"/>
    <s v="Logitech 910-002974 M325 Wireless Mouse for Web Scrolling"/>
    <n v="209.93"/>
    <n v="7"/>
    <n v="0"/>
    <n v="92.369200000000006"/>
  </r>
  <r>
    <n v="273"/>
    <s v="CA-2015-155334"/>
    <d v="2015-07-30T00:00:00"/>
    <d v="2015-07-31T00:00:00"/>
    <x v="7"/>
    <x v="1"/>
    <s v="First Class"/>
    <s v="HA-14920"/>
    <x v="66"/>
    <s v="Consumer"/>
    <s v="United States"/>
    <s v="San Francisco"/>
    <x v="1"/>
    <n v="94109"/>
    <s v="West"/>
    <s v="FUR-FU-10003274"/>
    <x v="0"/>
    <x v="5"/>
    <s v="Regeneration Desk Collection"/>
    <n v="5.28"/>
    <n v="3"/>
    <n v="0"/>
    <n v="2.3231999999999999"/>
  </r>
  <r>
    <n v="274"/>
    <s v="CA-2015-155334"/>
    <d v="2015-07-30T00:00:00"/>
    <d v="2015-07-31T00:00:00"/>
    <x v="7"/>
    <x v="1"/>
    <s v="First Class"/>
    <s v="HA-14920"/>
    <x v="66"/>
    <s v="Consumer"/>
    <s v="United States"/>
    <s v="San Francisco"/>
    <x v="1"/>
    <n v="94109"/>
    <s v="West"/>
    <s v="OFF-BI-10002557"/>
    <x v="1"/>
    <x v="8"/>
    <s v="Presstex Flexible Ring Binders"/>
    <n v="10.92"/>
    <n v="3"/>
    <n v="0.2"/>
    <n v="4.0949999999999998"/>
  </r>
  <r>
    <n v="275"/>
    <s v="CA-2017-118136"/>
    <d v="2017-09-16T00:00:00"/>
    <d v="2017-09-17T00:00:00"/>
    <x v="8"/>
    <x v="3"/>
    <s v="First Class"/>
    <s v="BB-10990"/>
    <x v="121"/>
    <s v="Corporate"/>
    <s v="United States"/>
    <s v="Inglewood"/>
    <x v="1"/>
    <n v="90301"/>
    <s v="West"/>
    <s v="OFF-PA-10002615"/>
    <x v="1"/>
    <x v="10"/>
    <s v="Ampad Gold Fibre Wirebound Steno Books, 6&quot; x 9&quot;, Gregg Ruled"/>
    <n v="8.82"/>
    <n v="2"/>
    <n v="0"/>
    <n v="4.0571999999999999"/>
  </r>
  <r>
    <n v="276"/>
    <s v="CA-2017-118136"/>
    <d v="2017-09-16T00:00:00"/>
    <d v="2017-09-17T00:00:00"/>
    <x v="8"/>
    <x v="3"/>
    <s v="First Class"/>
    <s v="BB-10990"/>
    <x v="121"/>
    <s v="Corporate"/>
    <s v="United States"/>
    <s v="Inglewood"/>
    <x v="1"/>
    <n v="90301"/>
    <s v="West"/>
    <s v="OFF-AR-10001427"/>
    <x v="1"/>
    <x v="6"/>
    <s v="Newell 330"/>
    <n v="5.98"/>
    <n v="1"/>
    <n v="0"/>
    <n v="1.5548"/>
  </r>
  <r>
    <n v="277"/>
    <s v="CA-2017-132976"/>
    <d v="2017-10-13T00:00:00"/>
    <d v="2017-10-17T00:00:00"/>
    <x v="2"/>
    <x v="3"/>
    <s v="Standard Class"/>
    <s v="AG-10495"/>
    <x v="122"/>
    <s v="Corporate"/>
    <s v="United States"/>
    <s v="Philadelphia"/>
    <x v="9"/>
    <n v="19140"/>
    <s v="East"/>
    <s v="OFF-PA-10000673"/>
    <x v="1"/>
    <x v="10"/>
    <s v="Post-it “Important Message” Note Pad, Neon Colors, 50 Sheets/Pad"/>
    <n v="11.648"/>
    <n v="2"/>
    <n v="0.2"/>
    <n v="4.0768000000000004"/>
  </r>
  <r>
    <n v="278"/>
    <s v="CA-2017-132976"/>
    <d v="2017-10-13T00:00:00"/>
    <d v="2017-10-17T00:00:00"/>
    <x v="2"/>
    <x v="3"/>
    <s v="Standard Class"/>
    <s v="AG-10495"/>
    <x v="122"/>
    <s v="Corporate"/>
    <s v="United States"/>
    <s v="Philadelphia"/>
    <x v="9"/>
    <n v="19140"/>
    <s v="East"/>
    <s v="OFF-PA-10004470"/>
    <x v="1"/>
    <x v="10"/>
    <s v="Adams Write n' Stick Phone Message Book, 11&quot; X 5 1/4&quot;, 200 Messages"/>
    <n v="18.175999999999998"/>
    <n v="4"/>
    <n v="0.2"/>
    <n v="5.9071999999999996"/>
  </r>
  <r>
    <n v="279"/>
    <s v="CA-2017-132976"/>
    <d v="2017-10-13T00:00:00"/>
    <d v="2017-10-17T00:00:00"/>
    <x v="2"/>
    <x v="3"/>
    <s v="Standard Class"/>
    <s v="AG-10495"/>
    <x v="122"/>
    <s v="Corporate"/>
    <s v="United States"/>
    <s v="Philadelphia"/>
    <x v="9"/>
    <n v="19140"/>
    <s v="East"/>
    <s v="OFF-ST-10000876"/>
    <x v="1"/>
    <x v="4"/>
    <s v="Eldon Simplefile Box Office"/>
    <n v="59.712000000000003"/>
    <n v="6"/>
    <n v="0.2"/>
    <n v="5.9711999999999996"/>
  </r>
  <r>
    <n v="280"/>
    <s v="CA-2017-132976"/>
    <d v="2017-10-13T00:00:00"/>
    <d v="2017-10-17T00:00:00"/>
    <x v="2"/>
    <x v="3"/>
    <s v="Standard Class"/>
    <s v="AG-10495"/>
    <x v="122"/>
    <s v="Corporate"/>
    <s v="United States"/>
    <s v="Philadelphia"/>
    <x v="9"/>
    <n v="19140"/>
    <s v="East"/>
    <s v="OFF-LA-10002043"/>
    <x v="1"/>
    <x v="2"/>
    <s v="Avery 489"/>
    <n v="24.84"/>
    <n v="3"/>
    <n v="0.2"/>
    <n v="8.6940000000000008"/>
  </r>
  <r>
    <n v="281"/>
    <s v="US-2015-161991"/>
    <d v="2015-09-26T00:00:00"/>
    <d v="2015-09-28T00:00:00"/>
    <x v="8"/>
    <x v="1"/>
    <s v="Second Class"/>
    <s v="SC-20725"/>
    <x v="56"/>
    <s v="Consumer"/>
    <s v="United States"/>
    <s v="Houston"/>
    <x v="5"/>
    <n v="77070"/>
    <s v="Central"/>
    <s v="OFF-BI-10004967"/>
    <x v="1"/>
    <x v="8"/>
    <s v="Round Ring Binders"/>
    <n v="2.08"/>
    <n v="5"/>
    <n v="0.8"/>
    <n v="-3.4319999999999999"/>
  </r>
  <r>
    <n v="282"/>
    <s v="US-2015-161991"/>
    <d v="2015-09-26T00:00:00"/>
    <d v="2015-09-28T00:00:00"/>
    <x v="8"/>
    <x v="1"/>
    <s v="Second Class"/>
    <s v="SC-20725"/>
    <x v="56"/>
    <s v="Consumer"/>
    <s v="United States"/>
    <s v="Houston"/>
    <x v="5"/>
    <n v="77070"/>
    <s v="Central"/>
    <s v="TEC-PH-10001760"/>
    <x v="2"/>
    <x v="7"/>
    <s v="Bose SoundLink Bluetooth Speaker"/>
    <n v="1114.4000000000001"/>
    <n v="7"/>
    <n v="0.2"/>
    <n v="376.11"/>
  </r>
  <r>
    <n v="283"/>
    <s v="CA-2015-130890"/>
    <d v="2015-11-02T00:00:00"/>
    <d v="2015-11-06T00:00:00"/>
    <x v="0"/>
    <x v="1"/>
    <s v="Standard Class"/>
    <s v="JO-15280"/>
    <x v="123"/>
    <s v="Consumer"/>
    <s v="United States"/>
    <s v="Los Angeles"/>
    <x v="1"/>
    <n v="90004"/>
    <s v="West"/>
    <s v="FUR-TA-10002903"/>
    <x v="0"/>
    <x v="3"/>
    <s v="Bevis Round Bullnose 29&quot; High Table Top"/>
    <n v="1038.8399999999999"/>
    <n v="5"/>
    <n v="0.2"/>
    <n v="51.942"/>
  </r>
  <r>
    <n v="284"/>
    <s v="CA-2015-130883"/>
    <d v="2015-09-26T00:00:00"/>
    <d v="2015-10-02T00:00:00"/>
    <x v="8"/>
    <x v="1"/>
    <s v="Standard Class"/>
    <s v="TB-21520"/>
    <x v="14"/>
    <s v="Consumer"/>
    <s v="United States"/>
    <s v="Portland"/>
    <x v="21"/>
    <n v="97206"/>
    <s v="West"/>
    <s v="OFF-PA-10000474"/>
    <x v="1"/>
    <x v="10"/>
    <s v="Easy-staple paper"/>
    <n v="141.76"/>
    <n v="5"/>
    <n v="0.2"/>
    <n v="47.844000000000001"/>
  </r>
  <r>
    <n v="285"/>
    <s v="CA-2015-130883"/>
    <d v="2015-09-26T00:00:00"/>
    <d v="2015-10-02T00:00:00"/>
    <x v="8"/>
    <x v="1"/>
    <s v="Standard Class"/>
    <s v="TB-21520"/>
    <x v="14"/>
    <s v="Consumer"/>
    <s v="United States"/>
    <s v="Portland"/>
    <x v="21"/>
    <n v="97206"/>
    <s v="West"/>
    <s v="TEC-AC-10001956"/>
    <x v="2"/>
    <x v="11"/>
    <s v="Microsoft Arc Touch Mouse"/>
    <n v="239.8"/>
    <n v="5"/>
    <n v="0.2"/>
    <n v="47.96"/>
  </r>
  <r>
    <n v="286"/>
    <s v="CA-2015-130883"/>
    <d v="2015-09-26T00:00:00"/>
    <d v="2015-10-02T00:00:00"/>
    <x v="8"/>
    <x v="1"/>
    <s v="Standard Class"/>
    <s v="TB-21520"/>
    <x v="14"/>
    <s v="Consumer"/>
    <s v="United States"/>
    <s v="Portland"/>
    <x v="21"/>
    <n v="97206"/>
    <s v="West"/>
    <s v="OFF-PA-10004100"/>
    <x v="1"/>
    <x v="10"/>
    <s v="Xerox 216"/>
    <n v="31.103999999999999"/>
    <n v="6"/>
    <n v="0.2"/>
    <n v="10.8864"/>
  </r>
  <r>
    <n v="287"/>
    <s v="CA-2016-112697"/>
    <d v="2016-12-18T00:00:00"/>
    <d v="2016-12-20T00:00:00"/>
    <x v="4"/>
    <x v="0"/>
    <s v="Second Class"/>
    <s v="AH-10195"/>
    <x v="124"/>
    <s v="Corporate"/>
    <s v="United States"/>
    <s v="Tamarac"/>
    <x v="2"/>
    <n v="33319"/>
    <s v="South"/>
    <s v="OFF-BI-10000778"/>
    <x v="1"/>
    <x v="8"/>
    <s v="GBC VeloBinder Electric Binding Machine"/>
    <n v="254.05799999999999"/>
    <n v="7"/>
    <n v="0.7"/>
    <n v="-169.37200000000001"/>
  </r>
  <r>
    <n v="288"/>
    <s v="CA-2016-112697"/>
    <d v="2016-12-18T00:00:00"/>
    <d v="2016-12-20T00:00:00"/>
    <x v="4"/>
    <x v="0"/>
    <s v="Second Class"/>
    <s v="AH-10195"/>
    <x v="124"/>
    <s v="Corporate"/>
    <s v="United States"/>
    <s v="Tamarac"/>
    <x v="2"/>
    <n v="33319"/>
    <s v="South"/>
    <s v="OFF-AP-10002684"/>
    <x v="1"/>
    <x v="9"/>
    <s v="Acco 7-Outlet Masterpiece Power Center, Wihtout Fax/Phone Line Protection"/>
    <n v="194.52799999999999"/>
    <n v="2"/>
    <n v="0.2"/>
    <n v="24.315999999999999"/>
  </r>
  <r>
    <n v="289"/>
    <s v="CA-2016-112697"/>
    <d v="2016-12-18T00:00:00"/>
    <d v="2016-12-20T00:00:00"/>
    <x v="4"/>
    <x v="0"/>
    <s v="Second Class"/>
    <s v="AH-10195"/>
    <x v="124"/>
    <s v="Corporate"/>
    <s v="United States"/>
    <s v="Tamarac"/>
    <x v="2"/>
    <n v="33319"/>
    <s v="South"/>
    <s v="OFF-SU-10000646"/>
    <x v="1"/>
    <x v="14"/>
    <s v="Premier Automatic Letter Opener"/>
    <n v="961.48"/>
    <n v="5"/>
    <n v="0.2"/>
    <n v="-204.31450000000001"/>
  </r>
  <r>
    <n v="290"/>
    <s v="CA-2016-110772"/>
    <d v="2016-11-20T00:00:00"/>
    <d v="2016-11-24T00:00:00"/>
    <x v="0"/>
    <x v="0"/>
    <s v="Second Class"/>
    <s v="NZ-18565"/>
    <x v="125"/>
    <s v="Home Office"/>
    <s v="United States"/>
    <s v="Columbus"/>
    <x v="24"/>
    <n v="43229"/>
    <s v="East"/>
    <s v="OFF-FA-10002983"/>
    <x v="1"/>
    <x v="13"/>
    <s v="Advantus SlideClip Paper Clips"/>
    <n v="19.096"/>
    <n v="7"/>
    <n v="0.2"/>
    <n v="6.6836000000000002"/>
  </r>
  <r>
    <n v="291"/>
    <s v="CA-2016-110772"/>
    <d v="2016-11-20T00:00:00"/>
    <d v="2016-11-24T00:00:00"/>
    <x v="0"/>
    <x v="0"/>
    <s v="Second Class"/>
    <s v="NZ-18565"/>
    <x v="125"/>
    <s v="Home Office"/>
    <s v="United States"/>
    <s v="Columbus"/>
    <x v="24"/>
    <n v="43229"/>
    <s v="East"/>
    <s v="OFF-LA-10004689"/>
    <x v="1"/>
    <x v="2"/>
    <s v="Avery 512"/>
    <n v="18.495999999999999"/>
    <n v="8"/>
    <n v="0.2"/>
    <n v="6.2423999999999999"/>
  </r>
  <r>
    <n v="292"/>
    <s v="CA-2016-110772"/>
    <d v="2016-11-20T00:00:00"/>
    <d v="2016-11-24T00:00:00"/>
    <x v="0"/>
    <x v="0"/>
    <s v="Second Class"/>
    <s v="NZ-18565"/>
    <x v="125"/>
    <s v="Home Office"/>
    <s v="United States"/>
    <s v="Columbus"/>
    <x v="24"/>
    <n v="43229"/>
    <s v="East"/>
    <s v="TEC-AC-10002001"/>
    <x v="2"/>
    <x v="11"/>
    <s v="Logitech Wireless Gaming Headset G930"/>
    <n v="255.98400000000001"/>
    <n v="2"/>
    <n v="0.2"/>
    <n v="54.396599999999999"/>
  </r>
  <r>
    <n v="293"/>
    <s v="CA-2016-110772"/>
    <d v="2016-11-20T00:00:00"/>
    <d v="2016-11-24T00:00:00"/>
    <x v="0"/>
    <x v="0"/>
    <s v="Second Class"/>
    <s v="NZ-18565"/>
    <x v="125"/>
    <s v="Home Office"/>
    <s v="United States"/>
    <s v="Columbus"/>
    <x v="24"/>
    <n v="43229"/>
    <s v="East"/>
    <s v="FUR-BO-10004709"/>
    <x v="0"/>
    <x v="0"/>
    <s v="Bush Westfield Collection Bookcases, Medium Cherry Finish"/>
    <n v="86.97"/>
    <n v="3"/>
    <n v="0.5"/>
    <n v="-48.703200000000002"/>
  </r>
  <r>
    <n v="294"/>
    <s v="CA-2014-111451"/>
    <d v="2014-12-26T00:00:00"/>
    <d v="2014-12-28T00:00:00"/>
    <x v="4"/>
    <x v="2"/>
    <s v="First Class"/>
    <s v="KL-16555"/>
    <x v="126"/>
    <s v="Corporate"/>
    <s v="United States"/>
    <s v="Colorado Springs"/>
    <x v="22"/>
    <n v="80906"/>
    <s v="West"/>
    <s v="FUR-FU-10004091"/>
    <x v="0"/>
    <x v="5"/>
    <s v="Howard Miller 13&quot; Diameter Goldtone Round Wall Clock"/>
    <n v="300.416"/>
    <n v="8"/>
    <n v="0.2"/>
    <n v="78.859200000000001"/>
  </r>
  <r>
    <n v="295"/>
    <s v="CA-2014-111451"/>
    <d v="2014-12-26T00:00:00"/>
    <d v="2014-12-28T00:00:00"/>
    <x v="4"/>
    <x v="2"/>
    <s v="First Class"/>
    <s v="KL-16555"/>
    <x v="126"/>
    <s v="Corporate"/>
    <s v="United States"/>
    <s v="Colorado Springs"/>
    <x v="22"/>
    <n v="80906"/>
    <s v="West"/>
    <s v="FUR-CH-10001891"/>
    <x v="0"/>
    <x v="1"/>
    <s v="Global Deluxe Office Fabric Chairs"/>
    <n v="230.352"/>
    <n v="3"/>
    <n v="0.2"/>
    <n v="20.155799999999999"/>
  </r>
  <r>
    <n v="296"/>
    <s v="CA-2014-111451"/>
    <d v="2014-12-26T00:00:00"/>
    <d v="2014-12-28T00:00:00"/>
    <x v="4"/>
    <x v="2"/>
    <s v="First Class"/>
    <s v="KL-16555"/>
    <x v="126"/>
    <s v="Corporate"/>
    <s v="United States"/>
    <s v="Colorado Springs"/>
    <x v="22"/>
    <n v="80906"/>
    <s v="West"/>
    <s v="FUR-FU-10002918"/>
    <x v="0"/>
    <x v="5"/>
    <s v="Eldon ClusterMat Chair Mat with Cordless Antistatic Protection"/>
    <n v="218.352"/>
    <n v="3"/>
    <n v="0.2"/>
    <n v="-24.564599999999999"/>
  </r>
  <r>
    <n v="297"/>
    <s v="CA-2014-111451"/>
    <d v="2014-12-26T00:00:00"/>
    <d v="2014-12-28T00:00:00"/>
    <x v="4"/>
    <x v="2"/>
    <s v="First Class"/>
    <s v="KL-16555"/>
    <x v="126"/>
    <s v="Corporate"/>
    <s v="United States"/>
    <s v="Colorado Springs"/>
    <x v="22"/>
    <n v="80906"/>
    <s v="West"/>
    <s v="OFF-BI-10004593"/>
    <x v="1"/>
    <x v="8"/>
    <s v="Ibico Laser Imprintable Binding System Covers"/>
    <n v="78.599999999999994"/>
    <n v="5"/>
    <n v="0.7"/>
    <n v="-62.88"/>
  </r>
  <r>
    <n v="298"/>
    <s v="CA-2014-111451"/>
    <d v="2014-12-26T00:00:00"/>
    <d v="2014-12-28T00:00:00"/>
    <x v="4"/>
    <x v="2"/>
    <s v="First Class"/>
    <s v="KL-16555"/>
    <x v="126"/>
    <s v="Corporate"/>
    <s v="United States"/>
    <s v="Colorado Springs"/>
    <x v="22"/>
    <n v="80906"/>
    <s v="West"/>
    <s v="OFF-FA-10004854"/>
    <x v="1"/>
    <x v="13"/>
    <s v="Vinyl Coated Wire Paper Clips in Organizer Box, 800/Box"/>
    <n v="27.552"/>
    <n v="3"/>
    <n v="0.2"/>
    <n v="9.2988"/>
  </r>
  <r>
    <n v="299"/>
    <s v="CA-2016-142545"/>
    <d v="2016-10-28T00:00:00"/>
    <d v="2016-11-03T00:00:00"/>
    <x v="2"/>
    <x v="0"/>
    <s v="Standard Class"/>
    <s v="JD-15895"/>
    <x v="63"/>
    <s v="Corporate"/>
    <s v="United States"/>
    <s v="Belleville"/>
    <x v="30"/>
    <n v="7109"/>
    <s v="East"/>
    <s v="OFF-PA-10002105"/>
    <x v="1"/>
    <x v="10"/>
    <s v="Xerox 223"/>
    <n v="32.4"/>
    <n v="5"/>
    <n v="0"/>
    <n v="15.552"/>
  </r>
  <r>
    <n v="300"/>
    <s v="CA-2016-142545"/>
    <d v="2016-10-28T00:00:00"/>
    <d v="2016-11-03T00:00:00"/>
    <x v="2"/>
    <x v="0"/>
    <s v="Standard Class"/>
    <s v="JD-15895"/>
    <x v="63"/>
    <s v="Corporate"/>
    <s v="United States"/>
    <s v="Belleville"/>
    <x v="30"/>
    <n v="7109"/>
    <s v="East"/>
    <s v="OFF-ST-10002756"/>
    <x v="1"/>
    <x v="4"/>
    <s v="Tennsco Stur-D-Stor Boltless Shelving, 5 Shelves, 24&quot; Deep, Sand"/>
    <n v="1082.48"/>
    <n v="8"/>
    <n v="0"/>
    <n v="10.8248"/>
  </r>
  <r>
    <n v="301"/>
    <s v="CA-2016-142545"/>
    <d v="2016-10-28T00:00:00"/>
    <d v="2016-11-03T00:00:00"/>
    <x v="2"/>
    <x v="0"/>
    <s v="Standard Class"/>
    <s v="JD-15895"/>
    <x v="63"/>
    <s v="Corporate"/>
    <s v="United States"/>
    <s v="Belleville"/>
    <x v="30"/>
    <n v="7109"/>
    <s v="East"/>
    <s v="OFF-PA-10004243"/>
    <x v="1"/>
    <x v="10"/>
    <s v="Xerox 1939"/>
    <n v="56.91"/>
    <n v="3"/>
    <n v="0"/>
    <n v="27.316800000000001"/>
  </r>
  <r>
    <n v="302"/>
    <s v="CA-2016-142545"/>
    <d v="2016-10-28T00:00:00"/>
    <d v="2016-11-03T00:00:00"/>
    <x v="2"/>
    <x v="0"/>
    <s v="Standard Class"/>
    <s v="JD-15895"/>
    <x v="63"/>
    <s v="Corporate"/>
    <s v="United States"/>
    <s v="Belleville"/>
    <x v="30"/>
    <n v="7109"/>
    <s v="East"/>
    <s v="FUR-FU-10001861"/>
    <x v="0"/>
    <x v="5"/>
    <s v="Floodlight Indoor Halogen Bulbs, 1 Bulb per Pack, 60 Watts"/>
    <n v="77.599999999999994"/>
    <n v="4"/>
    <n v="0"/>
    <n v="38.024000000000001"/>
  </r>
  <r>
    <n v="303"/>
    <s v="CA-2016-142545"/>
    <d v="2016-10-28T00:00:00"/>
    <d v="2016-11-03T00:00:00"/>
    <x v="2"/>
    <x v="0"/>
    <s v="Standard Class"/>
    <s v="JD-15895"/>
    <x v="63"/>
    <s v="Corporate"/>
    <s v="United States"/>
    <s v="Belleville"/>
    <x v="30"/>
    <n v="7109"/>
    <s v="East"/>
    <s v="OFF-BI-10002706"/>
    <x v="1"/>
    <x v="8"/>
    <s v="Avery Premier Heavy-Duty Binder with Round Locking Rings"/>
    <n v="14.28"/>
    <n v="1"/>
    <n v="0"/>
    <n v="6.5688000000000004"/>
  </r>
  <r>
    <n v="304"/>
    <s v="US-2017-152380"/>
    <d v="2017-11-19T00:00:00"/>
    <d v="2017-11-23T00:00:00"/>
    <x v="0"/>
    <x v="3"/>
    <s v="Standard Class"/>
    <s v="JH-15910"/>
    <x v="101"/>
    <s v="Consumer"/>
    <s v="United States"/>
    <s v="Chicago"/>
    <x v="10"/>
    <n v="60623"/>
    <s v="Central"/>
    <s v="FUR-TA-10002533"/>
    <x v="0"/>
    <x v="3"/>
    <s v="BPI Conference Tables"/>
    <n v="219.07499999999999"/>
    <n v="3"/>
    <n v="0.5"/>
    <n v="-131.44499999999999"/>
  </r>
  <r>
    <n v="305"/>
    <s v="CA-2015-144253"/>
    <d v="2015-05-04T00:00:00"/>
    <d v="2015-05-09T00:00:00"/>
    <x v="5"/>
    <x v="1"/>
    <s v="Second Class"/>
    <s v="AS-10225"/>
    <x v="127"/>
    <s v="Corporate"/>
    <s v="United States"/>
    <s v="New York City"/>
    <x v="15"/>
    <n v="10024"/>
    <s v="East"/>
    <s v="FUR-FU-10002671"/>
    <x v="0"/>
    <x v="5"/>
    <s v="Electrix 20W Halogen Replacement Bulb for Zoom-In Desk Lamp"/>
    <n v="26.8"/>
    <n v="2"/>
    <n v="0"/>
    <n v="12.864000000000001"/>
  </r>
  <r>
    <n v="306"/>
    <s v="CA-2014-130960"/>
    <d v="2014-12-30T00:00:00"/>
    <d v="2015-01-04T00:00:00"/>
    <x v="4"/>
    <x v="2"/>
    <s v="Standard Class"/>
    <s v="KB-16600"/>
    <x v="33"/>
    <s v="Corporate"/>
    <s v="United States"/>
    <s v="Taylor"/>
    <x v="12"/>
    <n v="48180"/>
    <s v="Central"/>
    <s v="OFF-AR-10003651"/>
    <x v="1"/>
    <x v="6"/>
    <s v="Newell 350"/>
    <n v="9.84"/>
    <n v="3"/>
    <n v="0"/>
    <n v="2.8536000000000001"/>
  </r>
  <r>
    <n v="307"/>
    <s v="CA-2014-111003"/>
    <d v="2014-06-01T00:00:00"/>
    <d v="2014-06-06T00:00:00"/>
    <x v="1"/>
    <x v="2"/>
    <s v="Standard Class"/>
    <s v="CR-12625"/>
    <x v="128"/>
    <s v="Home Office"/>
    <s v="United States"/>
    <s v="Lakewood"/>
    <x v="30"/>
    <n v="8701"/>
    <s v="East"/>
    <s v="OFF-BI-10001072"/>
    <x v="1"/>
    <x v="8"/>
    <s v="GBC Clear Cover, 8-1/2 x 11, unpunched, 25 covers per pack"/>
    <n v="45.48"/>
    <n v="3"/>
    <n v="0"/>
    <n v="20.9208"/>
  </r>
  <r>
    <n v="308"/>
    <s v="CA-2014-111003"/>
    <d v="2014-06-01T00:00:00"/>
    <d v="2014-06-06T00:00:00"/>
    <x v="1"/>
    <x v="2"/>
    <s v="Standard Class"/>
    <s v="CR-12625"/>
    <x v="128"/>
    <s v="Home Office"/>
    <s v="United States"/>
    <s v="Lakewood"/>
    <x v="30"/>
    <n v="8701"/>
    <s v="East"/>
    <s v="OFF-AR-10002135"/>
    <x v="1"/>
    <x v="6"/>
    <s v="Boston Heavy-Duty Trimline Electric Pencil Sharpeners"/>
    <n v="289.2"/>
    <n v="6"/>
    <n v="0"/>
    <n v="83.867999999999995"/>
  </r>
  <r>
    <n v="309"/>
    <s v="CA-2017-126774"/>
    <d v="2017-04-15T00:00:00"/>
    <d v="2017-04-17T00:00:00"/>
    <x v="3"/>
    <x v="3"/>
    <s v="First Class"/>
    <s v="SH-20395"/>
    <x v="129"/>
    <s v="Consumer"/>
    <s v="United States"/>
    <s v="Arlington"/>
    <x v="17"/>
    <n v="22204"/>
    <s v="South"/>
    <s v="OFF-AR-10002804"/>
    <x v="1"/>
    <x v="6"/>
    <s v="Faber Castell Col-Erase Pencils"/>
    <n v="4.8899999999999997"/>
    <n v="1"/>
    <n v="0"/>
    <n v="2.0049000000000001"/>
  </r>
  <r>
    <n v="310"/>
    <s v="CA-2016-142902"/>
    <d v="2016-09-12T00:00:00"/>
    <d v="2016-09-14T00:00:00"/>
    <x v="8"/>
    <x v="0"/>
    <s v="Second Class"/>
    <s v="BP-11185"/>
    <x v="130"/>
    <s v="Corporate"/>
    <s v="United States"/>
    <s v="Arvada"/>
    <x v="22"/>
    <n v="80004"/>
    <s v="West"/>
    <s v="FUR-FU-10001918"/>
    <x v="0"/>
    <x v="5"/>
    <s v="C-Line Cubicle Keepers Polyproplyene Holder With Velcro Backings"/>
    <n v="15.135999999999999"/>
    <n v="4"/>
    <n v="0.2"/>
    <n v="3.5948000000000002"/>
  </r>
  <r>
    <n v="311"/>
    <s v="CA-2016-142902"/>
    <d v="2016-09-12T00:00:00"/>
    <d v="2016-09-14T00:00:00"/>
    <x v="8"/>
    <x v="0"/>
    <s v="Second Class"/>
    <s v="BP-11185"/>
    <x v="130"/>
    <s v="Corporate"/>
    <s v="United States"/>
    <s v="Arvada"/>
    <x v="22"/>
    <n v="80004"/>
    <s v="West"/>
    <s v="FUR-CH-10004086"/>
    <x v="0"/>
    <x v="1"/>
    <s v="Hon 4070 Series Pagoda Armless Upholstered Stacking Chairs"/>
    <n v="466.76799999999997"/>
    <n v="2"/>
    <n v="0.2"/>
    <n v="52.511400000000002"/>
  </r>
  <r>
    <n v="312"/>
    <s v="CA-2016-142902"/>
    <d v="2016-09-12T00:00:00"/>
    <d v="2016-09-14T00:00:00"/>
    <x v="8"/>
    <x v="0"/>
    <s v="Second Class"/>
    <s v="BP-11185"/>
    <x v="130"/>
    <s v="Corporate"/>
    <s v="United States"/>
    <s v="Arvada"/>
    <x v="22"/>
    <n v="80004"/>
    <s v="West"/>
    <s v="FUR-FU-10001756"/>
    <x v="0"/>
    <x v="5"/>
    <s v="Eldon Expressions Desk Accessory, Wood Photo Frame, Mahogany"/>
    <n v="15.231999999999999"/>
    <n v="1"/>
    <n v="0.2"/>
    <n v="1.7136"/>
  </r>
  <r>
    <n v="313"/>
    <s v="CA-2016-142902"/>
    <d v="2016-09-12T00:00:00"/>
    <d v="2016-09-14T00:00:00"/>
    <x v="8"/>
    <x v="0"/>
    <s v="Second Class"/>
    <s v="BP-11185"/>
    <x v="130"/>
    <s v="Corporate"/>
    <s v="United States"/>
    <s v="Arvada"/>
    <x v="22"/>
    <n v="80004"/>
    <s v="West"/>
    <s v="OFF-LA-10000634"/>
    <x v="1"/>
    <x v="2"/>
    <s v="Avery 509"/>
    <n v="6.2640000000000002"/>
    <n v="3"/>
    <n v="0.2"/>
    <n v="2.0358000000000001"/>
  </r>
  <r>
    <n v="314"/>
    <s v="CA-2014-120887"/>
    <d v="2014-09-27T00:00:00"/>
    <d v="2014-10-03T00:00:00"/>
    <x v="8"/>
    <x v="2"/>
    <s v="Standard Class"/>
    <s v="TS-21205"/>
    <x v="131"/>
    <s v="Corporate"/>
    <s v="United States"/>
    <s v="Hackensack"/>
    <x v="30"/>
    <n v="7601"/>
    <s v="East"/>
    <s v="FUR-FU-10001588"/>
    <x v="0"/>
    <x v="5"/>
    <s v="Deflect-o SuperTray Unbreakable Stackable Tray, Letter, Black"/>
    <n v="87.54"/>
    <n v="3"/>
    <n v="0"/>
    <n v="37.642200000000003"/>
  </r>
  <r>
    <n v="315"/>
    <s v="CA-2014-167850"/>
    <d v="2014-08-09T00:00:00"/>
    <d v="2014-08-16T00:00:00"/>
    <x v="6"/>
    <x v="2"/>
    <s v="Standard Class"/>
    <s v="AG-10525"/>
    <x v="132"/>
    <s v="Corporate"/>
    <s v="United States"/>
    <s v="Saint Petersburg"/>
    <x v="2"/>
    <n v="33710"/>
    <s v="South"/>
    <s v="TEC-PH-10002398"/>
    <x v="2"/>
    <x v="7"/>
    <s v="AT&amp;T 1070 Corded Phone"/>
    <n v="178.38399999999999"/>
    <n v="2"/>
    <n v="0.2"/>
    <n v="22.297999999999998"/>
  </r>
  <r>
    <n v="316"/>
    <s v="CA-2014-167850"/>
    <d v="2014-08-09T00:00:00"/>
    <d v="2014-08-16T00:00:00"/>
    <x v="6"/>
    <x v="2"/>
    <s v="Standard Class"/>
    <s v="AG-10525"/>
    <x v="132"/>
    <s v="Corporate"/>
    <s v="United States"/>
    <s v="Saint Petersburg"/>
    <x v="2"/>
    <n v="33710"/>
    <s v="South"/>
    <s v="OFF-PA-10001937"/>
    <x v="1"/>
    <x v="10"/>
    <s v="Xerox 21"/>
    <n v="15.552"/>
    <n v="3"/>
    <n v="0.2"/>
    <n v="5.4432"/>
  </r>
  <r>
    <n v="317"/>
    <s v="CA-2014-164259"/>
    <d v="2014-12-28T00:00:00"/>
    <d v="2014-12-30T00:00:00"/>
    <x v="4"/>
    <x v="2"/>
    <s v="First Class"/>
    <s v="SP-20860"/>
    <x v="133"/>
    <s v="Corporate"/>
    <s v="United States"/>
    <s v="Philadelphia"/>
    <x v="9"/>
    <n v="19143"/>
    <s v="East"/>
    <s v="OFF-AR-10003373"/>
    <x v="1"/>
    <x v="6"/>
    <s v="Boston School Pro Electric Pencil Sharpener, 1670"/>
    <n v="99.135999999999996"/>
    <n v="4"/>
    <n v="0.2"/>
    <n v="8.6744000000000003"/>
  </r>
  <r>
    <n v="318"/>
    <s v="CA-2014-164973"/>
    <d v="2014-11-04T00:00:00"/>
    <d v="2014-11-09T00:00:00"/>
    <x v="0"/>
    <x v="2"/>
    <s v="Standard Class"/>
    <s v="NM-18445"/>
    <x v="134"/>
    <s v="Home Office"/>
    <s v="United States"/>
    <s v="New York City"/>
    <x v="15"/>
    <n v="10024"/>
    <s v="East"/>
    <s v="FUR-CH-10002602"/>
    <x v="0"/>
    <x v="1"/>
    <s v="DMI Arturo Collection Mission-style Design Wood Chair"/>
    <n v="135.88200000000001"/>
    <n v="1"/>
    <n v="0.1"/>
    <n v="24.1568"/>
  </r>
  <r>
    <n v="319"/>
    <s v="CA-2014-164973"/>
    <d v="2014-11-04T00:00:00"/>
    <d v="2014-11-09T00:00:00"/>
    <x v="0"/>
    <x v="2"/>
    <s v="Standard Class"/>
    <s v="NM-18445"/>
    <x v="134"/>
    <s v="Home Office"/>
    <s v="United States"/>
    <s v="New York City"/>
    <x v="15"/>
    <n v="10024"/>
    <s v="East"/>
    <s v="TEC-MA-10002927"/>
    <x v="2"/>
    <x v="15"/>
    <s v="Canon imageCLASS MF7460 Monochrome Digital Laser Multifunction Copier"/>
    <n v="3991.98"/>
    <n v="2"/>
    <n v="0"/>
    <n v="1995.99"/>
  </r>
  <r>
    <n v="320"/>
    <s v="CA-2014-164973"/>
    <d v="2014-11-04T00:00:00"/>
    <d v="2014-11-09T00:00:00"/>
    <x v="0"/>
    <x v="2"/>
    <s v="Standard Class"/>
    <s v="NM-18445"/>
    <x v="134"/>
    <s v="Home Office"/>
    <s v="United States"/>
    <s v="New York City"/>
    <x v="15"/>
    <n v="10024"/>
    <s v="East"/>
    <s v="TEC-PH-10004093"/>
    <x v="2"/>
    <x v="7"/>
    <s v="Panasonic Kx-TS550"/>
    <n v="275.94"/>
    <n v="6"/>
    <n v="0"/>
    <n v="80.022599999999997"/>
  </r>
  <r>
    <n v="321"/>
    <s v="CA-2014-164973"/>
    <d v="2014-11-04T00:00:00"/>
    <d v="2014-11-09T00:00:00"/>
    <x v="0"/>
    <x v="2"/>
    <s v="Standard Class"/>
    <s v="NM-18445"/>
    <x v="134"/>
    <s v="Home Office"/>
    <s v="United States"/>
    <s v="New York City"/>
    <x v="15"/>
    <n v="10024"/>
    <s v="East"/>
    <s v="TEC-AC-10000892"/>
    <x v="2"/>
    <x v="11"/>
    <s v="NETGEAR N750 Dual Band Wi-Fi Gigabit Router"/>
    <n v="360"/>
    <n v="4"/>
    <n v="0"/>
    <n v="129.6"/>
  </r>
  <r>
    <n v="322"/>
    <s v="CA-2014-164973"/>
    <d v="2014-11-04T00:00:00"/>
    <d v="2014-11-09T00:00:00"/>
    <x v="0"/>
    <x v="2"/>
    <s v="Standard Class"/>
    <s v="NM-18445"/>
    <x v="134"/>
    <s v="Home Office"/>
    <s v="United States"/>
    <s v="New York City"/>
    <x v="15"/>
    <n v="10024"/>
    <s v="East"/>
    <s v="OFF-ST-10002974"/>
    <x v="1"/>
    <x v="4"/>
    <s v="Trav-L-File Heavy-Duty Shuttle II, Black"/>
    <n v="43.57"/>
    <n v="1"/>
    <n v="0"/>
    <n v="13.071"/>
  </r>
  <r>
    <n v="323"/>
    <s v="CA-2014-156601"/>
    <d v="2014-09-19T00:00:00"/>
    <d v="2014-09-24T00:00:00"/>
    <x v="8"/>
    <x v="2"/>
    <s v="Standard Class"/>
    <s v="FA-14230"/>
    <x v="135"/>
    <s v="Corporate"/>
    <s v="United States"/>
    <s v="Long Beach"/>
    <x v="1"/>
    <n v="90805"/>
    <s v="West"/>
    <s v="OFF-FA-10000624"/>
    <x v="1"/>
    <x v="13"/>
    <s v="OIC Binder Clips"/>
    <n v="7.16"/>
    <n v="2"/>
    <n v="0"/>
    <n v="3.58"/>
  </r>
  <r>
    <n v="324"/>
    <s v="CA-2016-162138"/>
    <d v="2016-04-23T00:00:00"/>
    <d v="2016-04-27T00:00:00"/>
    <x v="3"/>
    <x v="0"/>
    <s v="Standard Class"/>
    <s v="GK-14620"/>
    <x v="136"/>
    <s v="Corporate"/>
    <s v="United States"/>
    <s v="Hesperia"/>
    <x v="1"/>
    <n v="92345"/>
    <s v="West"/>
    <s v="OFF-BI-10004593"/>
    <x v="1"/>
    <x v="8"/>
    <s v="Ibico Laser Imprintable Binding System Covers"/>
    <n v="251.52"/>
    <n v="6"/>
    <n v="0.2"/>
    <n v="81.744"/>
  </r>
  <r>
    <n v="325"/>
    <s v="CA-2016-162138"/>
    <d v="2016-04-23T00:00:00"/>
    <d v="2016-04-27T00:00:00"/>
    <x v="3"/>
    <x v="0"/>
    <s v="Standard Class"/>
    <s v="GK-14620"/>
    <x v="136"/>
    <s v="Corporate"/>
    <s v="United States"/>
    <s v="Hesperia"/>
    <x v="1"/>
    <n v="92345"/>
    <s v="West"/>
    <s v="TEC-AC-10001908"/>
    <x v="2"/>
    <x v="11"/>
    <s v="Logitech Wireless Headset h800"/>
    <n v="99.99"/>
    <n v="1"/>
    <n v="0"/>
    <n v="34.996499999999997"/>
  </r>
  <r>
    <n v="326"/>
    <s v="CA-2017-153339"/>
    <d v="2017-11-03T00:00:00"/>
    <d v="2017-11-05T00:00:00"/>
    <x v="0"/>
    <x v="3"/>
    <s v="Second Class"/>
    <s v="DJ-13510"/>
    <x v="137"/>
    <s v="Corporate"/>
    <s v="United States"/>
    <s v="Murfreesboro"/>
    <x v="18"/>
    <n v="37130"/>
    <s v="South"/>
    <s v="FUR-FU-10001967"/>
    <x v="0"/>
    <x v="5"/>
    <s v="Telescoping Adjustable Floor Lamp"/>
    <n v="15.992000000000001"/>
    <n v="1"/>
    <n v="0.2"/>
    <n v="0.99950000000000006"/>
  </r>
  <r>
    <n v="327"/>
    <s v="US-2016-141544"/>
    <d v="2016-08-30T00:00:00"/>
    <d v="2016-09-01T00:00:00"/>
    <x v="6"/>
    <x v="0"/>
    <s v="First Class"/>
    <s v="PO-18850"/>
    <x v="138"/>
    <s v="Consumer"/>
    <s v="United States"/>
    <s v="Philadelphia"/>
    <x v="9"/>
    <n v="19143"/>
    <s v="East"/>
    <s v="TEC-PH-10003645"/>
    <x v="2"/>
    <x v="7"/>
    <s v="Aastra 57i VoIP phone"/>
    <n v="290.89800000000002"/>
    <n v="3"/>
    <n v="0.4"/>
    <n v="-67.876199999999997"/>
  </r>
  <r>
    <n v="328"/>
    <s v="US-2016-141544"/>
    <d v="2016-08-30T00:00:00"/>
    <d v="2016-09-01T00:00:00"/>
    <x v="6"/>
    <x v="0"/>
    <s v="First Class"/>
    <s v="PO-18850"/>
    <x v="138"/>
    <s v="Consumer"/>
    <s v="United States"/>
    <s v="Philadelphia"/>
    <x v="9"/>
    <n v="19143"/>
    <s v="East"/>
    <s v="OFF-ST-10000675"/>
    <x v="1"/>
    <x v="4"/>
    <s v="File Shuttle II and Handi-File, Black"/>
    <n v="54.223999999999997"/>
    <n v="2"/>
    <n v="0.2"/>
    <n v="3.3889999999999998"/>
  </r>
  <r>
    <n v="329"/>
    <s v="US-2016-141544"/>
    <d v="2016-08-30T00:00:00"/>
    <d v="2016-09-01T00:00:00"/>
    <x v="6"/>
    <x v="0"/>
    <s v="First Class"/>
    <s v="PO-18850"/>
    <x v="138"/>
    <s v="Consumer"/>
    <s v="United States"/>
    <s v="Philadelphia"/>
    <x v="9"/>
    <n v="19143"/>
    <s v="East"/>
    <s v="FUR-CH-10003312"/>
    <x v="0"/>
    <x v="1"/>
    <s v="Hon 2090 “Pillow Soft” Series Mid Back Swivel/Tilt Chairs"/>
    <n v="786.74400000000003"/>
    <n v="4"/>
    <n v="0.3"/>
    <n v="-258.5016"/>
  </r>
  <r>
    <n v="330"/>
    <s v="US-2016-141544"/>
    <d v="2016-08-30T00:00:00"/>
    <d v="2016-09-01T00:00:00"/>
    <x v="6"/>
    <x v="0"/>
    <s v="First Class"/>
    <s v="PO-18850"/>
    <x v="138"/>
    <s v="Consumer"/>
    <s v="United States"/>
    <s v="Philadelphia"/>
    <x v="9"/>
    <n v="19143"/>
    <s v="East"/>
    <s v="OFF-LA-10001074"/>
    <x v="1"/>
    <x v="2"/>
    <s v="Round Specialty Laser Printer Labels"/>
    <n v="100.24"/>
    <n v="10"/>
    <n v="0.2"/>
    <n v="33.831000000000003"/>
  </r>
  <r>
    <n v="331"/>
    <s v="US-2016-141544"/>
    <d v="2016-08-30T00:00:00"/>
    <d v="2016-09-01T00:00:00"/>
    <x v="6"/>
    <x v="0"/>
    <s v="First Class"/>
    <s v="PO-18850"/>
    <x v="138"/>
    <s v="Consumer"/>
    <s v="United States"/>
    <s v="Philadelphia"/>
    <x v="9"/>
    <n v="19143"/>
    <s v="East"/>
    <s v="OFF-BI-10001524"/>
    <x v="1"/>
    <x v="8"/>
    <s v="GBC Premium Transparent Covers with Diagonal Lined Pattern"/>
    <n v="37.764000000000003"/>
    <n v="6"/>
    <n v="0.7"/>
    <n v="-27.6936"/>
  </r>
  <r>
    <n v="332"/>
    <s v="US-2016-150147"/>
    <d v="2016-04-25T00:00:00"/>
    <d v="2016-04-29T00:00:00"/>
    <x v="3"/>
    <x v="0"/>
    <s v="Second Class"/>
    <s v="JL-15850"/>
    <x v="139"/>
    <s v="Consumer"/>
    <s v="United States"/>
    <s v="Philadelphia"/>
    <x v="9"/>
    <n v="19134"/>
    <s v="East"/>
    <s v="TEC-PH-10004614"/>
    <x v="2"/>
    <x v="7"/>
    <s v="AT&amp;T 841000 Phone"/>
    <n v="82.8"/>
    <n v="2"/>
    <n v="0.4"/>
    <n v="-20.7"/>
  </r>
  <r>
    <n v="333"/>
    <s v="US-2016-150147"/>
    <d v="2016-04-25T00:00:00"/>
    <d v="2016-04-29T00:00:00"/>
    <x v="3"/>
    <x v="0"/>
    <s v="Second Class"/>
    <s v="JL-15850"/>
    <x v="139"/>
    <s v="Consumer"/>
    <s v="United States"/>
    <s v="Philadelphia"/>
    <x v="9"/>
    <n v="19134"/>
    <s v="East"/>
    <s v="OFF-BI-10001153"/>
    <x v="1"/>
    <x v="8"/>
    <s v="Ibico Recycled Grain-Textured Covers"/>
    <n v="20.724"/>
    <n v="2"/>
    <n v="0.7"/>
    <n v="-13.816000000000001"/>
  </r>
  <r>
    <n v="334"/>
    <s v="US-2016-150147"/>
    <d v="2016-04-25T00:00:00"/>
    <d v="2016-04-29T00:00:00"/>
    <x v="3"/>
    <x v="0"/>
    <s v="Second Class"/>
    <s v="JL-15850"/>
    <x v="139"/>
    <s v="Consumer"/>
    <s v="United States"/>
    <s v="Philadelphia"/>
    <x v="9"/>
    <n v="19134"/>
    <s v="East"/>
    <s v="OFF-BI-10001982"/>
    <x v="1"/>
    <x v="8"/>
    <s v="Wilson Jones Custom Binder Spines &amp; Labels"/>
    <n v="4.8959999999999999"/>
    <n v="3"/>
    <n v="0.7"/>
    <n v="-3.4272"/>
  </r>
  <r>
    <n v="335"/>
    <s v="CA-2015-137946"/>
    <d v="2015-09-01T00:00:00"/>
    <d v="2015-09-04T00:00:00"/>
    <x v="8"/>
    <x v="1"/>
    <s v="Second Class"/>
    <s v="DB-13615"/>
    <x v="140"/>
    <s v="Consumer"/>
    <s v="United States"/>
    <s v="Los Angeles"/>
    <x v="1"/>
    <n v="90045"/>
    <s v="West"/>
    <s v="OFF-BI-10001922"/>
    <x v="1"/>
    <x v="8"/>
    <s v="Storex Dura Pro Binders"/>
    <n v="4.7519999999999998"/>
    <n v="1"/>
    <n v="0.2"/>
    <n v="1.6037999999999999"/>
  </r>
  <r>
    <n v="336"/>
    <s v="CA-2015-137946"/>
    <d v="2015-09-01T00:00:00"/>
    <d v="2015-09-04T00:00:00"/>
    <x v="8"/>
    <x v="1"/>
    <s v="Second Class"/>
    <s v="DB-13615"/>
    <x v="140"/>
    <s v="Consumer"/>
    <s v="United States"/>
    <s v="Los Angeles"/>
    <x v="1"/>
    <n v="90045"/>
    <s v="West"/>
    <s v="TEC-CO-10001449"/>
    <x v="2"/>
    <x v="16"/>
    <s v="Hewlett Packard LaserJet 3310 Copier"/>
    <n v="959.98400000000004"/>
    <n v="2"/>
    <n v="0.2"/>
    <n v="335.99439999999998"/>
  </r>
  <r>
    <n v="337"/>
    <s v="CA-2015-137946"/>
    <d v="2015-09-01T00:00:00"/>
    <d v="2015-09-04T00:00:00"/>
    <x v="8"/>
    <x v="1"/>
    <s v="Second Class"/>
    <s v="DB-13615"/>
    <x v="140"/>
    <s v="Consumer"/>
    <s v="United States"/>
    <s v="Los Angeles"/>
    <x v="1"/>
    <n v="90045"/>
    <s v="West"/>
    <s v="OFF-BI-10004140"/>
    <x v="1"/>
    <x v="8"/>
    <s v="Avery Non-Stick Binders"/>
    <n v="14.368"/>
    <n v="4"/>
    <n v="0.2"/>
    <n v="4.49"/>
  </r>
  <r>
    <n v="338"/>
    <s v="CA-2014-129924"/>
    <d v="2014-07-12T00:00:00"/>
    <d v="2014-07-17T00:00:00"/>
    <x v="7"/>
    <x v="2"/>
    <s v="Standard Class"/>
    <s v="AC-10420"/>
    <x v="141"/>
    <s v="Corporate"/>
    <s v="United States"/>
    <s v="San Francisco"/>
    <x v="1"/>
    <n v="94122"/>
    <s v="West"/>
    <s v="OFF-BI-10003314"/>
    <x v="1"/>
    <x v="8"/>
    <s v="Tuff Stuff Recycled Round Ring Binders"/>
    <n v="7.7119999999999997"/>
    <n v="2"/>
    <n v="0.2"/>
    <n v="2.7955999999999999"/>
  </r>
  <r>
    <n v="339"/>
    <s v="CA-2014-129924"/>
    <d v="2014-07-12T00:00:00"/>
    <d v="2014-07-17T00:00:00"/>
    <x v="7"/>
    <x v="2"/>
    <s v="Standard Class"/>
    <s v="AC-10420"/>
    <x v="141"/>
    <s v="Corporate"/>
    <s v="United States"/>
    <s v="San Francisco"/>
    <x v="1"/>
    <n v="94122"/>
    <s v="West"/>
    <s v="FUR-TA-10004575"/>
    <x v="0"/>
    <x v="3"/>
    <s v="Hon 5100 Series Wood Tables"/>
    <n v="698.35199999999998"/>
    <n v="3"/>
    <n v="0.2"/>
    <n v="-17.4588"/>
  </r>
  <r>
    <n v="340"/>
    <s v="CA-2015-128167"/>
    <d v="2015-06-22T00:00:00"/>
    <d v="2015-06-26T00:00:00"/>
    <x v="1"/>
    <x v="1"/>
    <s v="Second Class"/>
    <s v="KL-16645"/>
    <x v="107"/>
    <s v="Consumer"/>
    <s v="United States"/>
    <s v="Layton"/>
    <x v="7"/>
    <n v="84041"/>
    <s v="West"/>
    <s v="OFF-FA-10000490"/>
    <x v="1"/>
    <x v="13"/>
    <s v="OIC Binder Clips, Mini, 1/4&quot; Capacity, Black"/>
    <n v="4.96"/>
    <n v="4"/>
    <n v="0"/>
    <n v="2.3311999999999999"/>
  </r>
  <r>
    <n v="341"/>
    <s v="CA-2014-122336"/>
    <d v="2014-04-13T00:00:00"/>
    <d v="2014-04-17T00:00:00"/>
    <x v="3"/>
    <x v="2"/>
    <s v="Second Class"/>
    <s v="JD-15895"/>
    <x v="63"/>
    <s v="Corporate"/>
    <s v="United States"/>
    <s v="Philadelphia"/>
    <x v="9"/>
    <n v="19140"/>
    <s v="East"/>
    <s v="OFF-AR-10000122"/>
    <x v="1"/>
    <x v="6"/>
    <s v="Newell 314"/>
    <n v="17.856000000000002"/>
    <n v="4"/>
    <n v="0.2"/>
    <n v="1.1160000000000001"/>
  </r>
  <r>
    <n v="342"/>
    <s v="CA-2014-122336"/>
    <d v="2014-04-13T00:00:00"/>
    <d v="2014-04-17T00:00:00"/>
    <x v="3"/>
    <x v="2"/>
    <s v="Second Class"/>
    <s v="JD-15895"/>
    <x v="63"/>
    <s v="Corporate"/>
    <s v="United States"/>
    <s v="Philadelphia"/>
    <x v="9"/>
    <n v="19140"/>
    <s v="East"/>
    <s v="OFF-BI-10003656"/>
    <x v="1"/>
    <x v="8"/>
    <s v="Fellowes PB200 Plastic Comb Binding Machine"/>
    <n v="509.97"/>
    <n v="10"/>
    <n v="0.7"/>
    <n v="-407.976"/>
  </r>
  <r>
    <n v="343"/>
    <s v="CA-2014-122336"/>
    <d v="2014-04-13T00:00:00"/>
    <d v="2014-04-17T00:00:00"/>
    <x v="3"/>
    <x v="2"/>
    <s v="Second Class"/>
    <s v="JD-15895"/>
    <x v="63"/>
    <s v="Corporate"/>
    <s v="United States"/>
    <s v="Philadelphia"/>
    <x v="9"/>
    <n v="19140"/>
    <s v="East"/>
    <s v="OFF-FA-10002780"/>
    <x v="1"/>
    <x v="13"/>
    <s v="Staples"/>
    <n v="30.992000000000001"/>
    <n v="13"/>
    <n v="0.2"/>
    <n v="10.0724"/>
  </r>
  <r>
    <n v="344"/>
    <s v="CA-2014-122336"/>
    <d v="2014-04-13T00:00:00"/>
    <d v="2014-04-17T00:00:00"/>
    <x v="3"/>
    <x v="2"/>
    <s v="Second Class"/>
    <s v="JD-15895"/>
    <x v="63"/>
    <s v="Corporate"/>
    <s v="United States"/>
    <s v="Philadelphia"/>
    <x v="9"/>
    <n v="19140"/>
    <s v="East"/>
    <s v="TEC-PH-10000702"/>
    <x v="2"/>
    <x v="7"/>
    <s v="Square Credit Card Reader, 4 1/2&quot; x 4 1/2&quot; x 1&quot;, White"/>
    <n v="71.927999999999997"/>
    <n v="12"/>
    <n v="0.4"/>
    <n v="8.3916000000000004"/>
  </r>
  <r>
    <n v="345"/>
    <s v="US-2015-120712"/>
    <d v="2015-12-20T00:00:00"/>
    <d v="2015-12-24T00:00:00"/>
    <x v="4"/>
    <x v="1"/>
    <s v="Standard Class"/>
    <s v="CS-12130"/>
    <x v="79"/>
    <s v="Consumer"/>
    <s v="United States"/>
    <s v="Austin"/>
    <x v="5"/>
    <n v="78745"/>
    <s v="Central"/>
    <s v="OFF-ST-10000107"/>
    <x v="1"/>
    <x v="4"/>
    <s v="Fellowes Super Stor/Drawer"/>
    <n v="88.8"/>
    <n v="4"/>
    <n v="0.2"/>
    <n v="-2.2200000000000002"/>
  </r>
  <r>
    <n v="346"/>
    <s v="CA-2017-169901"/>
    <d v="2017-06-15T00:00:00"/>
    <d v="2017-06-19T00:00:00"/>
    <x v="1"/>
    <x v="3"/>
    <s v="Standard Class"/>
    <s v="CC-12550"/>
    <x v="142"/>
    <s v="Consumer"/>
    <s v="United States"/>
    <s v="San Francisco"/>
    <x v="1"/>
    <n v="94122"/>
    <s v="West"/>
    <s v="TEC-PH-10002293"/>
    <x v="2"/>
    <x v="7"/>
    <s v="Anker 36W 4-Port USB Wall Charger Travel Power Adapter for iPhone 5s 5c 5"/>
    <n v="47.975999999999999"/>
    <n v="3"/>
    <n v="0.2"/>
    <n v="4.7976000000000001"/>
  </r>
  <r>
    <n v="347"/>
    <s v="CA-2017-134306"/>
    <d v="2017-07-08T00:00:00"/>
    <d v="2017-07-12T00:00:00"/>
    <x v="7"/>
    <x v="3"/>
    <s v="Standard Class"/>
    <s v="TD-20995"/>
    <x v="143"/>
    <s v="Consumer"/>
    <s v="United States"/>
    <s v="Lowell"/>
    <x v="31"/>
    <n v="1852"/>
    <s v="East"/>
    <s v="OFF-AR-10004027"/>
    <x v="1"/>
    <x v="6"/>
    <s v="Binney &amp; Smith inkTank Erasable Desk Highlighter, Chisel Tip, Yellow, 12/Box"/>
    <n v="7.56"/>
    <n v="3"/>
    <n v="0"/>
    <n v="3.0996000000000001"/>
  </r>
  <r>
    <n v="348"/>
    <s v="CA-2017-134306"/>
    <d v="2017-07-08T00:00:00"/>
    <d v="2017-07-12T00:00:00"/>
    <x v="7"/>
    <x v="3"/>
    <s v="Standard Class"/>
    <s v="TD-20995"/>
    <x v="143"/>
    <s v="Consumer"/>
    <s v="United States"/>
    <s v="Lowell"/>
    <x v="31"/>
    <n v="1852"/>
    <s v="East"/>
    <s v="OFF-PA-10000249"/>
    <x v="1"/>
    <x v="10"/>
    <s v="Easy-staple paper"/>
    <n v="24.56"/>
    <n v="2"/>
    <n v="0"/>
    <n v="11.543200000000001"/>
  </r>
  <r>
    <n v="349"/>
    <s v="CA-2017-134306"/>
    <d v="2017-07-08T00:00:00"/>
    <d v="2017-07-12T00:00:00"/>
    <x v="7"/>
    <x v="3"/>
    <s v="Standard Class"/>
    <s v="TD-20995"/>
    <x v="143"/>
    <s v="Consumer"/>
    <s v="United States"/>
    <s v="Lowell"/>
    <x v="31"/>
    <n v="1852"/>
    <s v="East"/>
    <s v="OFF-AR-10001374"/>
    <x v="1"/>
    <x v="6"/>
    <s v="BIC Brite Liner Highlighters, Chisel Tip"/>
    <n v="12.96"/>
    <n v="2"/>
    <n v="0"/>
    <n v="4.1471999999999998"/>
  </r>
  <r>
    <n v="350"/>
    <s v="CA-2016-129714"/>
    <d v="2016-09-01T00:00:00"/>
    <d v="2016-09-03T00:00:00"/>
    <x v="8"/>
    <x v="0"/>
    <s v="First Class"/>
    <s v="AB-10060"/>
    <x v="144"/>
    <s v="Home Office"/>
    <s v="United States"/>
    <s v="New York City"/>
    <x v="15"/>
    <n v="10009"/>
    <s v="East"/>
    <s v="TEC-AC-10000290"/>
    <x v="2"/>
    <x v="11"/>
    <s v="Sabrent 4-Port USB 2.0 Hub"/>
    <n v="6.79"/>
    <n v="1"/>
    <n v="0"/>
    <n v="2.3086000000000002"/>
  </r>
  <r>
    <n v="351"/>
    <s v="CA-2016-129714"/>
    <d v="2016-09-01T00:00:00"/>
    <d v="2016-09-03T00:00:00"/>
    <x v="8"/>
    <x v="0"/>
    <s v="First Class"/>
    <s v="AB-10060"/>
    <x v="144"/>
    <s v="Home Office"/>
    <s v="United States"/>
    <s v="New York City"/>
    <x v="15"/>
    <n v="10009"/>
    <s v="East"/>
    <s v="OFF-PA-10001970"/>
    <x v="1"/>
    <x v="10"/>
    <s v="Xerox 1881"/>
    <n v="24.56"/>
    <n v="2"/>
    <n v="0"/>
    <n v="11.543200000000001"/>
  </r>
  <r>
    <n v="352"/>
    <s v="CA-2016-129714"/>
    <d v="2016-09-01T00:00:00"/>
    <d v="2016-09-03T00:00:00"/>
    <x v="8"/>
    <x v="0"/>
    <s v="First Class"/>
    <s v="AB-10060"/>
    <x v="144"/>
    <s v="Home Office"/>
    <s v="United States"/>
    <s v="New York City"/>
    <x v="15"/>
    <n v="10009"/>
    <s v="East"/>
    <s v="OFF-BI-10002160"/>
    <x v="1"/>
    <x v="8"/>
    <s v="Acco Hanging Data Binders"/>
    <n v="3.048"/>
    <n v="1"/>
    <n v="0.2"/>
    <n v="1.0668"/>
  </r>
  <r>
    <n v="353"/>
    <s v="CA-2016-129714"/>
    <d v="2016-09-01T00:00:00"/>
    <d v="2016-09-03T00:00:00"/>
    <x v="8"/>
    <x v="0"/>
    <s v="First Class"/>
    <s v="AB-10060"/>
    <x v="144"/>
    <s v="Home Office"/>
    <s v="United States"/>
    <s v="New York City"/>
    <x v="15"/>
    <n v="10009"/>
    <s v="East"/>
    <s v="OFF-PA-10001970"/>
    <x v="1"/>
    <x v="10"/>
    <s v="Xerox 1881"/>
    <n v="49.12"/>
    <n v="4"/>
    <n v="0"/>
    <n v="23.086400000000001"/>
  </r>
  <r>
    <n v="354"/>
    <s v="CA-2016-129714"/>
    <d v="2016-09-01T00:00:00"/>
    <d v="2016-09-03T00:00:00"/>
    <x v="8"/>
    <x v="0"/>
    <s v="First Class"/>
    <s v="AB-10060"/>
    <x v="144"/>
    <s v="Home Office"/>
    <s v="United States"/>
    <s v="New York City"/>
    <x v="15"/>
    <n v="10009"/>
    <s v="East"/>
    <s v="OFF-BI-10004995"/>
    <x v="1"/>
    <x v="8"/>
    <s v="GBC DocuBind P400 Electric Binding System"/>
    <n v="4355.1679999999997"/>
    <n v="4"/>
    <n v="0.2"/>
    <n v="1415.4295999999999"/>
  </r>
  <r>
    <n v="355"/>
    <s v="CA-2016-138520"/>
    <d v="2016-04-08T00:00:00"/>
    <d v="2016-04-13T00:00:00"/>
    <x v="3"/>
    <x v="0"/>
    <s v="Standard Class"/>
    <s v="JL-15505"/>
    <x v="145"/>
    <s v="Consumer"/>
    <s v="United States"/>
    <s v="New York City"/>
    <x v="15"/>
    <n v="10035"/>
    <s v="East"/>
    <s v="FUR-BO-10002268"/>
    <x v="0"/>
    <x v="0"/>
    <s v="Sauder Barrister Bookcases"/>
    <n v="388.70400000000001"/>
    <n v="6"/>
    <n v="0.2"/>
    <n v="-4.8587999999999996"/>
  </r>
  <r>
    <n v="356"/>
    <s v="CA-2016-138520"/>
    <d v="2016-04-08T00:00:00"/>
    <d v="2016-04-13T00:00:00"/>
    <x v="3"/>
    <x v="0"/>
    <s v="Standard Class"/>
    <s v="JL-15505"/>
    <x v="145"/>
    <s v="Consumer"/>
    <s v="United States"/>
    <s v="New York City"/>
    <x v="15"/>
    <n v="10035"/>
    <s v="East"/>
    <s v="OFF-EN-10001137"/>
    <x v="1"/>
    <x v="12"/>
    <s v="#10 Gummed Flap White Envelopes, 100/Box"/>
    <n v="8.26"/>
    <n v="2"/>
    <n v="0"/>
    <n v="3.7995999999999999"/>
  </r>
  <r>
    <n v="357"/>
    <s v="CA-2016-138520"/>
    <d v="2016-04-08T00:00:00"/>
    <d v="2016-04-13T00:00:00"/>
    <x v="3"/>
    <x v="0"/>
    <s v="Standard Class"/>
    <s v="JL-15505"/>
    <x v="145"/>
    <s v="Consumer"/>
    <s v="United States"/>
    <s v="New York City"/>
    <x v="15"/>
    <n v="10035"/>
    <s v="East"/>
    <s v="OFF-AR-10002399"/>
    <x v="1"/>
    <x v="6"/>
    <s v="Dixon Prang Watercolor Pencils, 10-Color Set with Brush"/>
    <n v="17.04"/>
    <n v="4"/>
    <n v="0"/>
    <n v="6.9863999999999997"/>
  </r>
  <r>
    <n v="358"/>
    <s v="CA-2016-138520"/>
    <d v="2016-04-08T00:00:00"/>
    <d v="2016-04-13T00:00:00"/>
    <x v="3"/>
    <x v="0"/>
    <s v="Standard Class"/>
    <s v="JL-15505"/>
    <x v="145"/>
    <s v="Consumer"/>
    <s v="United States"/>
    <s v="New York City"/>
    <x v="15"/>
    <n v="10035"/>
    <s v="East"/>
    <s v="OFF-PA-10002713"/>
    <x v="1"/>
    <x v="10"/>
    <s v="Adams Phone Message Book, 200 Message Capacity, 8 1/16” x 11”"/>
    <n v="34.4"/>
    <n v="5"/>
    <n v="0"/>
    <n v="15.824"/>
  </r>
  <r>
    <n v="359"/>
    <s v="CA-2016-130001"/>
    <d v="2016-04-23T00:00:00"/>
    <d v="2016-04-28T00:00:00"/>
    <x v="3"/>
    <x v="0"/>
    <s v="Standard Class"/>
    <s v="HK-14890"/>
    <x v="96"/>
    <s v="Corporate"/>
    <s v="United States"/>
    <s v="Charlotte"/>
    <x v="3"/>
    <n v="28205"/>
    <s v="South"/>
    <s v="OFF-PA-10002666"/>
    <x v="1"/>
    <x v="10"/>
    <s v="Southworth 25% Cotton Linen-Finish Paper &amp; Envelopes"/>
    <n v="36.24"/>
    <n v="5"/>
    <n v="0.2"/>
    <n v="11.324999999999999"/>
  </r>
  <r>
    <n v="360"/>
    <s v="CA-2017-155698"/>
    <d v="2017-03-08T00:00:00"/>
    <d v="2017-03-11T00:00:00"/>
    <x v="10"/>
    <x v="3"/>
    <s v="First Class"/>
    <s v="VB-21745"/>
    <x v="146"/>
    <s v="Corporate"/>
    <s v="United States"/>
    <s v="Columbus"/>
    <x v="32"/>
    <n v="31907"/>
    <s v="South"/>
    <s v="OFF-AP-10001124"/>
    <x v="1"/>
    <x v="9"/>
    <s v="Belkin 8 Outlet SurgeMaster II Gold Surge Protector with Phone Protection"/>
    <n v="647.84"/>
    <n v="8"/>
    <n v="0"/>
    <n v="168.4384"/>
  </r>
  <r>
    <n v="361"/>
    <s v="CA-2017-155698"/>
    <d v="2017-03-08T00:00:00"/>
    <d v="2017-03-11T00:00:00"/>
    <x v="10"/>
    <x v="3"/>
    <s v="First Class"/>
    <s v="VB-21745"/>
    <x v="146"/>
    <s v="Corporate"/>
    <s v="United States"/>
    <s v="Columbus"/>
    <x v="32"/>
    <n v="31907"/>
    <s v="South"/>
    <s v="OFF-LA-10001158"/>
    <x v="1"/>
    <x v="2"/>
    <s v="Avery Address/Shipping Labels for Typewriters, 4&quot; x 2&quot;"/>
    <n v="20.7"/>
    <n v="2"/>
    <n v="0"/>
    <n v="9.9359999999999999"/>
  </r>
  <r>
    <n v="362"/>
    <s v="CA-2017-144904"/>
    <d v="2017-09-25T00:00:00"/>
    <d v="2017-10-01T00:00:00"/>
    <x v="8"/>
    <x v="3"/>
    <s v="Standard Class"/>
    <s v="KW-16435"/>
    <x v="147"/>
    <s v="Consumer"/>
    <s v="United States"/>
    <s v="New York City"/>
    <x v="15"/>
    <n v="10009"/>
    <s v="East"/>
    <s v="OFF-LA-10001158"/>
    <x v="1"/>
    <x v="2"/>
    <s v="Avery Address/Shipping Labels for Typewriters, 4&quot; x 2&quot;"/>
    <n v="20.7"/>
    <n v="2"/>
    <n v="0"/>
    <n v="9.9359999999999999"/>
  </r>
  <r>
    <n v="363"/>
    <s v="CA-2017-144904"/>
    <d v="2017-09-25T00:00:00"/>
    <d v="2017-10-01T00:00:00"/>
    <x v="8"/>
    <x v="3"/>
    <s v="Standard Class"/>
    <s v="KW-16435"/>
    <x v="147"/>
    <s v="Consumer"/>
    <s v="United States"/>
    <s v="New York City"/>
    <x v="15"/>
    <n v="10009"/>
    <s v="East"/>
    <s v="FUR-CH-10000785"/>
    <x v="0"/>
    <x v="1"/>
    <s v="Global Ergonomic Managers Chair"/>
    <n v="488.64600000000002"/>
    <n v="3"/>
    <n v="0.1"/>
    <n v="86.870400000000004"/>
  </r>
  <r>
    <n v="364"/>
    <s v="CA-2017-144904"/>
    <d v="2017-09-25T00:00:00"/>
    <d v="2017-10-01T00:00:00"/>
    <x v="8"/>
    <x v="3"/>
    <s v="Standard Class"/>
    <s v="KW-16435"/>
    <x v="147"/>
    <s v="Consumer"/>
    <s v="United States"/>
    <s v="New York City"/>
    <x v="15"/>
    <n v="10009"/>
    <s v="East"/>
    <s v="OFF-AR-10003732"/>
    <x v="1"/>
    <x v="6"/>
    <s v="Newell 333"/>
    <n v="5.56"/>
    <n v="2"/>
    <n v="0"/>
    <n v="1.4456"/>
  </r>
  <r>
    <n v="365"/>
    <s v="CA-2017-144904"/>
    <d v="2017-09-25T00:00:00"/>
    <d v="2017-10-01T00:00:00"/>
    <x v="8"/>
    <x v="3"/>
    <s v="Standard Class"/>
    <s v="KW-16435"/>
    <x v="147"/>
    <s v="Consumer"/>
    <s v="United States"/>
    <s v="New York City"/>
    <x v="15"/>
    <n v="10009"/>
    <s v="East"/>
    <s v="FUR-FU-10000023"/>
    <x v="0"/>
    <x v="5"/>
    <s v="Eldon Wave Desk Accessories"/>
    <n v="47.12"/>
    <n v="8"/>
    <n v="0"/>
    <n v="20.732800000000001"/>
  </r>
  <r>
    <n v="366"/>
    <s v="CA-2014-123344"/>
    <d v="2014-09-24T00:00:00"/>
    <d v="2014-09-29T00:00:00"/>
    <x v="8"/>
    <x v="2"/>
    <s v="Standard Class"/>
    <s v="JD-16060"/>
    <x v="148"/>
    <s v="Consumer"/>
    <s v="United States"/>
    <s v="San Francisco"/>
    <x v="1"/>
    <n v="94109"/>
    <s v="West"/>
    <s v="OFF-ST-10001713"/>
    <x v="1"/>
    <x v="4"/>
    <s v="Gould Plastics 9-Pocket Panel Bin, 18-3/8w x 5-1/4d x 20-1/2h, Black"/>
    <n v="211.96"/>
    <n v="4"/>
    <n v="0"/>
    <n v="8.4784000000000006"/>
  </r>
  <r>
    <n v="367"/>
    <s v="CA-2016-155516"/>
    <d v="2016-10-21T00:00:00"/>
    <d v="2016-10-21T00:00:00"/>
    <x v="2"/>
    <x v="0"/>
    <s v="Same Day"/>
    <s v="MK-17905"/>
    <x v="149"/>
    <s v="Corporate"/>
    <s v="United States"/>
    <s v="Manchester"/>
    <x v="29"/>
    <n v="6040"/>
    <s v="East"/>
    <s v="OFF-BI-10002412"/>
    <x v="1"/>
    <x v="8"/>
    <s v="Wilson Jones “Snap” Scratch Pad Binder Tool for Ring Binders"/>
    <n v="23.2"/>
    <n v="4"/>
    <n v="0"/>
    <n v="10.44"/>
  </r>
  <r>
    <n v="368"/>
    <s v="CA-2016-155516"/>
    <d v="2016-10-21T00:00:00"/>
    <d v="2016-10-21T00:00:00"/>
    <x v="2"/>
    <x v="0"/>
    <s v="Same Day"/>
    <s v="MK-17905"/>
    <x v="149"/>
    <s v="Corporate"/>
    <s v="United States"/>
    <s v="Manchester"/>
    <x v="29"/>
    <n v="6040"/>
    <s v="East"/>
    <s v="OFF-SU-10001225"/>
    <x v="1"/>
    <x v="14"/>
    <s v="Staple remover"/>
    <n v="7.36"/>
    <n v="2"/>
    <n v="0"/>
    <n v="0.1472"/>
  </r>
  <r>
    <n v="369"/>
    <s v="CA-2016-155516"/>
    <d v="2016-10-21T00:00:00"/>
    <d v="2016-10-21T00:00:00"/>
    <x v="2"/>
    <x v="0"/>
    <s v="Same Day"/>
    <s v="MK-17905"/>
    <x v="149"/>
    <s v="Corporate"/>
    <s v="United States"/>
    <s v="Manchester"/>
    <x v="29"/>
    <n v="6040"/>
    <s v="East"/>
    <s v="OFF-ST-10002406"/>
    <x v="1"/>
    <x v="4"/>
    <s v="Pizazz Global Quick File"/>
    <n v="104.79"/>
    <n v="7"/>
    <n v="0"/>
    <n v="29.341200000000001"/>
  </r>
  <r>
    <n v="370"/>
    <s v="CA-2016-155516"/>
    <d v="2016-10-21T00:00:00"/>
    <d v="2016-10-21T00:00:00"/>
    <x v="2"/>
    <x v="0"/>
    <s v="Same Day"/>
    <s v="MK-17905"/>
    <x v="149"/>
    <s v="Corporate"/>
    <s v="United States"/>
    <s v="Manchester"/>
    <x v="29"/>
    <n v="6040"/>
    <s v="East"/>
    <s v="FUR-BO-10002545"/>
    <x v="0"/>
    <x v="0"/>
    <s v="Atlantic Metals Mobile 3-Shelf Bookcases, Custom Colors"/>
    <n v="1043.92"/>
    <n v="4"/>
    <n v="0"/>
    <n v="271.41919999999999"/>
  </r>
  <r>
    <n v="371"/>
    <s v="CA-2017-104745"/>
    <d v="2017-05-29T00:00:00"/>
    <d v="2017-06-04T00:00:00"/>
    <x v="5"/>
    <x v="3"/>
    <s v="Standard Class"/>
    <s v="GT-14755"/>
    <x v="150"/>
    <s v="Consumer"/>
    <s v="United States"/>
    <s v="Harlingen"/>
    <x v="5"/>
    <n v="78550"/>
    <s v="Central"/>
    <s v="OFF-PA-10002036"/>
    <x v="1"/>
    <x v="10"/>
    <s v="Xerox 1930"/>
    <n v="25.92"/>
    <n v="5"/>
    <n v="0.2"/>
    <n v="9.3960000000000008"/>
  </r>
  <r>
    <n v="372"/>
    <s v="CA-2017-104745"/>
    <d v="2017-05-29T00:00:00"/>
    <d v="2017-06-04T00:00:00"/>
    <x v="5"/>
    <x v="3"/>
    <s v="Standard Class"/>
    <s v="GT-14755"/>
    <x v="150"/>
    <s v="Consumer"/>
    <s v="United States"/>
    <s v="Harlingen"/>
    <x v="5"/>
    <n v="78550"/>
    <s v="Central"/>
    <s v="OFF-ST-10002205"/>
    <x v="1"/>
    <x v="4"/>
    <s v="File Shuttle I and Handi-File"/>
    <n v="53.423999999999999"/>
    <n v="3"/>
    <n v="0.2"/>
    <n v="4.6745999999999999"/>
  </r>
  <r>
    <n v="373"/>
    <s v="US-2014-119137"/>
    <d v="2014-07-23T00:00:00"/>
    <d v="2014-07-27T00:00:00"/>
    <x v="7"/>
    <x v="2"/>
    <s v="Standard Class"/>
    <s v="AG-10900"/>
    <x v="151"/>
    <s v="Consumer"/>
    <s v="United States"/>
    <s v="Tucson"/>
    <x v="16"/>
    <n v="85705"/>
    <s v="West"/>
    <s v="OFF-BI-10001982"/>
    <x v="1"/>
    <x v="8"/>
    <s v="Wilson Jones Custom Binder Spines &amp; Labels"/>
    <n v="8.16"/>
    <n v="5"/>
    <n v="0.7"/>
    <n v="-5.7119999999999997"/>
  </r>
  <r>
    <n v="374"/>
    <s v="US-2014-119137"/>
    <d v="2014-07-23T00:00:00"/>
    <d v="2014-07-27T00:00:00"/>
    <x v="7"/>
    <x v="2"/>
    <s v="Standard Class"/>
    <s v="AG-10900"/>
    <x v="151"/>
    <s v="Consumer"/>
    <s v="United States"/>
    <s v="Tucson"/>
    <x v="16"/>
    <n v="85705"/>
    <s v="West"/>
    <s v="TEC-AC-10003911"/>
    <x v="2"/>
    <x v="11"/>
    <s v="NETGEAR AC1750 Dual Band Gigabit Smart WiFi Router"/>
    <n v="1023.936"/>
    <n v="8"/>
    <n v="0.2"/>
    <n v="179.18879999999999"/>
  </r>
  <r>
    <n v="375"/>
    <s v="US-2014-119137"/>
    <d v="2014-07-23T00:00:00"/>
    <d v="2014-07-27T00:00:00"/>
    <x v="7"/>
    <x v="2"/>
    <s v="Standard Class"/>
    <s v="AG-10900"/>
    <x v="151"/>
    <s v="Consumer"/>
    <s v="United States"/>
    <s v="Tucson"/>
    <x v="16"/>
    <n v="85705"/>
    <s v="West"/>
    <s v="OFF-AR-10000658"/>
    <x v="1"/>
    <x v="6"/>
    <s v="Newell 324"/>
    <n v="9.24"/>
    <n v="1"/>
    <n v="0.2"/>
    <n v="0.92400000000000004"/>
  </r>
  <r>
    <n v="376"/>
    <s v="US-2014-119137"/>
    <d v="2014-07-23T00:00:00"/>
    <d v="2014-07-27T00:00:00"/>
    <x v="7"/>
    <x v="2"/>
    <s v="Standard Class"/>
    <s v="AG-10900"/>
    <x v="151"/>
    <s v="Consumer"/>
    <s v="United States"/>
    <s v="Tucson"/>
    <x v="16"/>
    <n v="85705"/>
    <s v="West"/>
    <s v="TEC-AC-10002076"/>
    <x v="2"/>
    <x v="11"/>
    <s v="Microsoft Natural Keyboard Elite"/>
    <n v="479.04"/>
    <n v="10"/>
    <n v="0.2"/>
    <n v="-29.94"/>
  </r>
  <r>
    <n v="377"/>
    <s v="US-2016-134656"/>
    <d v="2016-09-28T00:00:00"/>
    <d v="2016-10-01T00:00:00"/>
    <x v="8"/>
    <x v="0"/>
    <s v="First Class"/>
    <s v="MM-18280"/>
    <x v="152"/>
    <s v="Corporate"/>
    <s v="United States"/>
    <s v="Quincy"/>
    <x v="10"/>
    <n v="62301"/>
    <s v="Central"/>
    <s v="OFF-PA-10003039"/>
    <x v="1"/>
    <x v="10"/>
    <s v="Xerox 1960"/>
    <n v="99.135999999999996"/>
    <n v="4"/>
    <n v="0.2"/>
    <n v="30.98"/>
  </r>
  <r>
    <n v="378"/>
    <s v="US-2017-134481"/>
    <d v="2017-08-27T00:00:00"/>
    <d v="2017-09-01T00:00:00"/>
    <x v="6"/>
    <x v="3"/>
    <s v="Standard Class"/>
    <s v="AR-10405"/>
    <x v="153"/>
    <s v="Corporate"/>
    <s v="United States"/>
    <s v="Franklin"/>
    <x v="31"/>
    <n v="2038"/>
    <s v="East"/>
    <s v="FUR-TA-10004915"/>
    <x v="0"/>
    <x v="3"/>
    <s v="Office Impressions End Table, 20-1/2&quot;H x 24&quot;W x 20&quot;D"/>
    <n v="1488.424"/>
    <n v="7"/>
    <n v="0.3"/>
    <n v="-297.6848"/>
  </r>
  <r>
    <n v="379"/>
    <s v="CA-2015-130792"/>
    <d v="2015-04-28T00:00:00"/>
    <d v="2015-05-05T00:00:00"/>
    <x v="3"/>
    <x v="1"/>
    <s v="Standard Class"/>
    <s v="RA-19915"/>
    <x v="154"/>
    <s v="Consumer"/>
    <s v="United States"/>
    <s v="Houston"/>
    <x v="5"/>
    <n v="77095"/>
    <s v="Central"/>
    <s v="OFF-AP-10000696"/>
    <x v="1"/>
    <x v="9"/>
    <s v="Holmes Odor Grabber"/>
    <n v="8.6519999999999992"/>
    <n v="3"/>
    <n v="0.8"/>
    <n v="-20.3322"/>
  </r>
  <r>
    <n v="380"/>
    <s v="CA-2015-130792"/>
    <d v="2015-04-28T00:00:00"/>
    <d v="2015-05-05T00:00:00"/>
    <x v="3"/>
    <x v="1"/>
    <s v="Standard Class"/>
    <s v="RA-19915"/>
    <x v="154"/>
    <s v="Consumer"/>
    <s v="United States"/>
    <s v="Houston"/>
    <x v="5"/>
    <n v="77095"/>
    <s v="Central"/>
    <s v="OFF-ST-10003327"/>
    <x v="1"/>
    <x v="4"/>
    <s v="Akro-Mils 12-Gallon Tote"/>
    <n v="23.832000000000001"/>
    <n v="3"/>
    <n v="0.2"/>
    <n v="2.6810999999999998"/>
  </r>
  <r>
    <n v="381"/>
    <s v="CA-2015-130792"/>
    <d v="2015-04-28T00:00:00"/>
    <d v="2015-05-05T00:00:00"/>
    <x v="3"/>
    <x v="1"/>
    <s v="Standard Class"/>
    <s v="RA-19915"/>
    <x v="154"/>
    <s v="Consumer"/>
    <s v="United States"/>
    <s v="Houston"/>
    <x v="5"/>
    <n v="77095"/>
    <s v="Central"/>
    <s v="OFF-BI-10000309"/>
    <x v="1"/>
    <x v="8"/>
    <s v="GBC Twin Loop Wire Binding Elements, 9/16&quot; Spine, Black"/>
    <n v="12.176"/>
    <n v="4"/>
    <n v="0.8"/>
    <n v="-18.872800000000002"/>
  </r>
  <r>
    <n v="382"/>
    <s v="CA-2016-134775"/>
    <d v="2016-10-28T00:00:00"/>
    <d v="2016-10-29T00:00:00"/>
    <x v="2"/>
    <x v="0"/>
    <s v="First Class"/>
    <s v="AS-10285"/>
    <x v="155"/>
    <s v="Corporate"/>
    <s v="United States"/>
    <s v="San Francisco"/>
    <x v="1"/>
    <n v="94109"/>
    <s v="West"/>
    <s v="OFF-PA-10004734"/>
    <x v="1"/>
    <x v="10"/>
    <s v="Southworth Structures Collection"/>
    <n v="50.96"/>
    <n v="7"/>
    <n v="0"/>
    <n v="25.48"/>
  </r>
  <r>
    <n v="383"/>
    <s v="CA-2016-134775"/>
    <d v="2016-10-28T00:00:00"/>
    <d v="2016-10-29T00:00:00"/>
    <x v="2"/>
    <x v="0"/>
    <s v="First Class"/>
    <s v="AS-10285"/>
    <x v="155"/>
    <s v="Corporate"/>
    <s v="United States"/>
    <s v="San Francisco"/>
    <x v="1"/>
    <n v="94109"/>
    <s v="West"/>
    <s v="OFF-BI-10002225"/>
    <x v="1"/>
    <x v="8"/>
    <s v="Square Ring Data Binders, Rigid 75 Pt. Covers, 11&quot; x 14-7/8&quot;"/>
    <n v="49.536000000000001"/>
    <n v="3"/>
    <n v="0.2"/>
    <n v="17.337599999999998"/>
  </r>
  <r>
    <n v="384"/>
    <s v="CA-2015-125395"/>
    <d v="2015-06-26T00:00:00"/>
    <d v="2015-06-29T00:00:00"/>
    <x v="1"/>
    <x v="1"/>
    <s v="Second Class"/>
    <s v="LA-16780"/>
    <x v="156"/>
    <s v="Corporate"/>
    <s v="United States"/>
    <s v="Taylor"/>
    <x v="12"/>
    <n v="48180"/>
    <s v="Central"/>
    <s v="TEC-AC-10004708"/>
    <x v="2"/>
    <x v="11"/>
    <s v="Sony 32GB Class 10 Micro SDHC R40 Memory Card"/>
    <n v="41.9"/>
    <n v="2"/>
    <n v="0"/>
    <n v="8.7989999999999995"/>
  </r>
  <r>
    <n v="385"/>
    <s v="US-2015-168935"/>
    <d v="2015-11-27T00:00:00"/>
    <d v="2015-12-02T00:00:00"/>
    <x v="0"/>
    <x v="1"/>
    <s v="Standard Class"/>
    <s v="DO-13435"/>
    <x v="157"/>
    <s v="Consumer"/>
    <s v="United States"/>
    <s v="Pembroke Pines"/>
    <x v="2"/>
    <n v="33024"/>
    <s v="South"/>
    <s v="FUR-TA-10000617"/>
    <x v="0"/>
    <x v="3"/>
    <s v="Hon Practical Foundations 30 x 60 Training Table, Light Gray/Charcoal"/>
    <n v="375.45749999999998"/>
    <n v="3"/>
    <n v="0.45"/>
    <n v="-157.0095"/>
  </r>
  <r>
    <n v="386"/>
    <s v="US-2015-168935"/>
    <d v="2015-11-27T00:00:00"/>
    <d v="2015-12-02T00:00:00"/>
    <x v="0"/>
    <x v="1"/>
    <s v="Standard Class"/>
    <s v="DO-13435"/>
    <x v="157"/>
    <s v="Consumer"/>
    <s v="United States"/>
    <s v="Pembroke Pines"/>
    <x v="2"/>
    <n v="33024"/>
    <s v="South"/>
    <s v="TEC-AC-10002335"/>
    <x v="2"/>
    <x v="11"/>
    <s v="Logitech Media Keyboard K200"/>
    <n v="83.975999999999999"/>
    <n v="3"/>
    <n v="0.2"/>
    <n v="-1.0497000000000001"/>
  </r>
  <r>
    <n v="387"/>
    <s v="CA-2015-122756"/>
    <d v="2015-12-03T00:00:00"/>
    <d v="2015-12-07T00:00:00"/>
    <x v="4"/>
    <x v="1"/>
    <s v="Standard Class"/>
    <s v="DK-13225"/>
    <x v="158"/>
    <s v="Corporate"/>
    <s v="United States"/>
    <s v="Philadelphia"/>
    <x v="9"/>
    <n v="19140"/>
    <s v="East"/>
    <s v="TEC-MA-10001681"/>
    <x v="2"/>
    <x v="15"/>
    <s v="Lexmark MarkNet N8150 Wireless Print Server"/>
    <n v="482.34"/>
    <n v="4"/>
    <n v="0.7"/>
    <n v="-337.63799999999998"/>
  </r>
  <r>
    <n v="388"/>
    <s v="CA-2015-122756"/>
    <d v="2015-12-03T00:00:00"/>
    <d v="2015-12-07T00:00:00"/>
    <x v="4"/>
    <x v="1"/>
    <s v="Standard Class"/>
    <s v="DK-13225"/>
    <x v="158"/>
    <s v="Corporate"/>
    <s v="United States"/>
    <s v="Philadelphia"/>
    <x v="9"/>
    <n v="19140"/>
    <s v="East"/>
    <s v="FUR-FU-10001935"/>
    <x v="0"/>
    <x v="5"/>
    <s v="3M Hangers With Command Adhesive"/>
    <n v="2.96"/>
    <n v="1"/>
    <n v="0.2"/>
    <n v="0.77700000000000002"/>
  </r>
  <r>
    <n v="389"/>
    <s v="CA-2014-115973"/>
    <d v="2014-11-24T00:00:00"/>
    <d v="2014-11-26T00:00:00"/>
    <x v="0"/>
    <x v="2"/>
    <s v="First Class"/>
    <s v="NG-18430"/>
    <x v="159"/>
    <s v="Consumer"/>
    <s v="United States"/>
    <s v="Cincinnati"/>
    <x v="24"/>
    <n v="45231"/>
    <s v="East"/>
    <s v="OFF-AR-10004757"/>
    <x v="1"/>
    <x v="6"/>
    <s v="Crayola Colored Pencils"/>
    <n v="2.6240000000000001"/>
    <n v="1"/>
    <n v="0.2"/>
    <n v="0.4264"/>
  </r>
  <r>
    <n v="390"/>
    <s v="CA-2017-101798"/>
    <d v="2017-12-11T00:00:00"/>
    <d v="2017-12-15T00:00:00"/>
    <x v="4"/>
    <x v="3"/>
    <s v="Standard Class"/>
    <s v="MV-18190"/>
    <x v="160"/>
    <s v="Consumer"/>
    <s v="United States"/>
    <s v="New York City"/>
    <x v="15"/>
    <n v="10009"/>
    <s v="East"/>
    <s v="OFF-BI-10000050"/>
    <x v="1"/>
    <x v="8"/>
    <s v="Angle-D Binders with Locking Rings, Label Holders"/>
    <n v="23.36"/>
    <n v="4"/>
    <n v="0.2"/>
    <n v="7.8840000000000003"/>
  </r>
  <r>
    <n v="391"/>
    <s v="CA-2017-101798"/>
    <d v="2017-12-11T00:00:00"/>
    <d v="2017-12-15T00:00:00"/>
    <x v="4"/>
    <x v="3"/>
    <s v="Standard Class"/>
    <s v="MV-18190"/>
    <x v="160"/>
    <s v="Consumer"/>
    <s v="United States"/>
    <s v="New York City"/>
    <x v="15"/>
    <n v="10009"/>
    <s v="East"/>
    <s v="TEC-AC-10001998"/>
    <x v="2"/>
    <x v="11"/>
    <s v="Logitech LS21 Speaker System - PC Multimedia - 2.1-CH - Wired"/>
    <n v="39.979999999999997"/>
    <n v="2"/>
    <n v="0"/>
    <n v="13.5932"/>
  </r>
  <r>
    <n v="392"/>
    <s v="US-2014-135972"/>
    <d v="2014-09-21T00:00:00"/>
    <d v="2014-09-23T00:00:00"/>
    <x v="8"/>
    <x v="2"/>
    <s v="Second Class"/>
    <s v="JG-15115"/>
    <x v="161"/>
    <s v="Consumer"/>
    <s v="United States"/>
    <s v="Des Moines"/>
    <x v="4"/>
    <n v="98198"/>
    <s v="West"/>
    <s v="TEC-PH-10003012"/>
    <x v="2"/>
    <x v="7"/>
    <s v="Nortel Meridian M3904 Professional Digital phone"/>
    <n v="246.38399999999999"/>
    <n v="2"/>
    <n v="0.2"/>
    <n v="27.7182"/>
  </r>
  <r>
    <n v="393"/>
    <s v="US-2014-135972"/>
    <d v="2014-09-21T00:00:00"/>
    <d v="2014-09-23T00:00:00"/>
    <x v="8"/>
    <x v="2"/>
    <s v="Second Class"/>
    <s v="JG-15115"/>
    <x v="161"/>
    <s v="Consumer"/>
    <s v="United States"/>
    <s v="Des Moines"/>
    <x v="4"/>
    <n v="98198"/>
    <s v="West"/>
    <s v="TEC-CO-10002313"/>
    <x v="2"/>
    <x v="16"/>
    <s v="Canon PC1080F Personal Copier"/>
    <n v="1799.97"/>
    <n v="3"/>
    <n v="0"/>
    <n v="701.98829999999998"/>
  </r>
  <r>
    <n v="394"/>
    <s v="US-2014-134971"/>
    <d v="2014-06-07T00:00:00"/>
    <d v="2014-06-10T00:00:00"/>
    <x v="1"/>
    <x v="2"/>
    <s v="Second Class"/>
    <s v="BP-11095"/>
    <x v="162"/>
    <s v="Corporate"/>
    <s v="United States"/>
    <s v="Peoria"/>
    <x v="10"/>
    <n v="61604"/>
    <s v="Central"/>
    <s v="OFF-BI-10003982"/>
    <x v="1"/>
    <x v="8"/>
    <s v="Wilson Jones Century Plastic Molded Ring Binders"/>
    <n v="12.462"/>
    <n v="3"/>
    <n v="0.8"/>
    <n v="-20.5623"/>
  </r>
  <r>
    <n v="395"/>
    <s v="CA-2017-102946"/>
    <d v="2017-06-30T00:00:00"/>
    <d v="2017-07-05T00:00:00"/>
    <x v="1"/>
    <x v="3"/>
    <s v="Standard Class"/>
    <s v="VP-21730"/>
    <x v="163"/>
    <s v="Home Office"/>
    <s v="United States"/>
    <s v="Las Vegas"/>
    <x v="33"/>
    <n v="89115"/>
    <s v="West"/>
    <s v="OFF-BI-10004492"/>
    <x v="1"/>
    <x v="8"/>
    <s v="Tuf-Vin Binders"/>
    <n v="75.792000000000002"/>
    <n v="3"/>
    <n v="0.2"/>
    <n v="25.579799999999999"/>
  </r>
  <r>
    <n v="396"/>
    <s v="CA-2017-165603"/>
    <d v="2017-10-17T00:00:00"/>
    <d v="2017-10-19T00:00:00"/>
    <x v="2"/>
    <x v="3"/>
    <s v="Second Class"/>
    <s v="SS-20140"/>
    <x v="164"/>
    <s v="Corporate"/>
    <s v="United States"/>
    <s v="Warwick"/>
    <x v="34"/>
    <n v="2886"/>
    <s v="East"/>
    <s v="OFF-ST-10000798"/>
    <x v="1"/>
    <x v="4"/>
    <s v="2300 Heavy-Duty Transfer File Systems by Perma"/>
    <n v="49.96"/>
    <n v="2"/>
    <n v="0"/>
    <n v="9.4923999999999999"/>
  </r>
  <r>
    <n v="397"/>
    <s v="CA-2017-165603"/>
    <d v="2017-10-17T00:00:00"/>
    <d v="2017-10-19T00:00:00"/>
    <x v="2"/>
    <x v="3"/>
    <s v="Second Class"/>
    <s v="SS-20140"/>
    <x v="164"/>
    <s v="Corporate"/>
    <s v="United States"/>
    <s v="Warwick"/>
    <x v="34"/>
    <n v="2886"/>
    <s v="East"/>
    <s v="OFF-PA-10002552"/>
    <x v="1"/>
    <x v="10"/>
    <s v="Xerox 1958"/>
    <n v="12.96"/>
    <n v="2"/>
    <n v="0"/>
    <n v="6.2207999999999997"/>
  </r>
  <r>
    <n v="398"/>
    <s v="CA-2015-122259"/>
    <d v="2015-10-31T00:00:00"/>
    <d v="2015-11-04T00:00:00"/>
    <x v="2"/>
    <x v="1"/>
    <s v="Standard Class"/>
    <s v="HP-14815"/>
    <x v="6"/>
    <s v="Home Office"/>
    <s v="United States"/>
    <s v="Jackson"/>
    <x v="12"/>
    <n v="49201"/>
    <s v="Central"/>
    <s v="OFF-SU-10002573"/>
    <x v="1"/>
    <x v="14"/>
    <s v="Acme 10&quot; Easy Grip Assistive Scissors"/>
    <n v="70.12"/>
    <n v="4"/>
    <n v="0"/>
    <n v="21.036000000000001"/>
  </r>
  <r>
    <n v="399"/>
    <s v="CA-2016-108987"/>
    <d v="2016-09-08T00:00:00"/>
    <d v="2016-09-10T00:00:00"/>
    <x v="8"/>
    <x v="0"/>
    <s v="Second Class"/>
    <s v="AG-10675"/>
    <x v="165"/>
    <s v="Consumer"/>
    <s v="United States"/>
    <s v="Houston"/>
    <x v="5"/>
    <n v="77036"/>
    <s v="Central"/>
    <s v="OFF-ST-10001580"/>
    <x v="1"/>
    <x v="4"/>
    <s v="Super Decoflex Portable Personal File"/>
    <n v="35.951999999999998"/>
    <n v="3"/>
    <n v="0.2"/>
    <n v="3.5952000000000002"/>
  </r>
  <r>
    <n v="400"/>
    <s v="CA-2016-108987"/>
    <d v="2016-09-08T00:00:00"/>
    <d v="2016-09-10T00:00:00"/>
    <x v="8"/>
    <x v="0"/>
    <s v="Second Class"/>
    <s v="AG-10675"/>
    <x v="165"/>
    <s v="Consumer"/>
    <s v="United States"/>
    <s v="Houston"/>
    <x v="5"/>
    <n v="77036"/>
    <s v="Central"/>
    <s v="FUR-BO-10004834"/>
    <x v="0"/>
    <x v="0"/>
    <s v="Riverside Palais Royal Lawyers Bookcase, Royale Cherry Finish"/>
    <n v="2396.2656000000002"/>
    <n v="4"/>
    <n v="0.32"/>
    <n v="-317.15280000000001"/>
  </r>
  <r>
    <n v="401"/>
    <s v="CA-2016-108987"/>
    <d v="2016-09-08T00:00:00"/>
    <d v="2016-09-10T00:00:00"/>
    <x v="8"/>
    <x v="0"/>
    <s v="Second Class"/>
    <s v="AG-10675"/>
    <x v="165"/>
    <s v="Consumer"/>
    <s v="United States"/>
    <s v="Houston"/>
    <x v="5"/>
    <n v="77036"/>
    <s v="Central"/>
    <s v="OFF-ST-10000934"/>
    <x v="1"/>
    <x v="4"/>
    <s v="Contico 72&quot;H Heavy-Duty Storage System"/>
    <n v="131.136"/>
    <n v="4"/>
    <n v="0.2"/>
    <n v="-32.783999999999999"/>
  </r>
  <r>
    <n v="402"/>
    <s v="CA-2016-108987"/>
    <d v="2016-09-08T00:00:00"/>
    <d v="2016-09-10T00:00:00"/>
    <x v="8"/>
    <x v="0"/>
    <s v="Second Class"/>
    <s v="AG-10675"/>
    <x v="165"/>
    <s v="Consumer"/>
    <s v="United States"/>
    <s v="Houston"/>
    <x v="5"/>
    <n v="77036"/>
    <s v="Central"/>
    <s v="TEC-AC-10000158"/>
    <x v="2"/>
    <x v="11"/>
    <s v="Sony 64GB Class 10 Micro SDHC R40 Memory Card"/>
    <n v="57.584000000000003"/>
    <n v="2"/>
    <n v="0.2"/>
    <n v="0.7198"/>
  </r>
  <r>
    <n v="403"/>
    <s v="CA-2014-113166"/>
    <d v="2014-12-24T00:00:00"/>
    <d v="2014-12-26T00:00:00"/>
    <x v="4"/>
    <x v="2"/>
    <s v="First Class"/>
    <s v="LF-17185"/>
    <x v="166"/>
    <s v="Consumer"/>
    <s v="United States"/>
    <s v="Miami"/>
    <x v="2"/>
    <n v="33180"/>
    <s v="South"/>
    <s v="OFF-PA-10001947"/>
    <x v="1"/>
    <x v="10"/>
    <s v="Xerox 1974"/>
    <n v="9.5679999999999996"/>
    <n v="2"/>
    <n v="0.2"/>
    <n v="3.4683999999999999"/>
  </r>
  <r>
    <n v="404"/>
    <s v="CA-2014-155208"/>
    <d v="2014-04-16T00:00:00"/>
    <d v="2014-04-20T00:00:00"/>
    <x v="3"/>
    <x v="2"/>
    <s v="Standard Class"/>
    <s v="SP-20650"/>
    <x v="70"/>
    <s v="Corporate"/>
    <s v="United States"/>
    <s v="Wilmington"/>
    <x v="3"/>
    <n v="28403"/>
    <s v="South"/>
    <s v="OFF-AR-10003478"/>
    <x v="1"/>
    <x v="6"/>
    <s v="Avery Hi-Liter EverBold Pen Style Fluorescent Highlighters, 4/Pack"/>
    <n v="39.072000000000003"/>
    <n v="6"/>
    <n v="0.2"/>
    <n v="9.7680000000000007"/>
  </r>
  <r>
    <n v="405"/>
    <s v="CA-2017-117933"/>
    <d v="2017-12-24T00:00:00"/>
    <d v="2017-12-29T00:00:00"/>
    <x v="4"/>
    <x v="3"/>
    <s v="Standard Class"/>
    <s v="RF-19840"/>
    <x v="167"/>
    <s v="Consumer"/>
    <s v="United States"/>
    <s v="New York City"/>
    <x v="15"/>
    <n v="10024"/>
    <s v="East"/>
    <s v="OFF-AP-10004249"/>
    <x v="1"/>
    <x v="9"/>
    <s v="Staple holder"/>
    <n v="35.909999999999997"/>
    <n v="3"/>
    <n v="0"/>
    <n v="9.6957000000000004"/>
  </r>
  <r>
    <n v="406"/>
    <s v="CA-2017-117457"/>
    <d v="2017-12-08T00:00:00"/>
    <d v="2017-12-12T00:00:00"/>
    <x v="4"/>
    <x v="3"/>
    <s v="Standard Class"/>
    <s v="KH-16510"/>
    <x v="168"/>
    <s v="Consumer"/>
    <s v="United States"/>
    <s v="San Francisco"/>
    <x v="1"/>
    <n v="94110"/>
    <s v="West"/>
    <s v="TEC-AC-10000158"/>
    <x v="2"/>
    <x v="11"/>
    <s v="Sony 64GB Class 10 Micro SDHC R40 Memory Card"/>
    <n v="179.95"/>
    <n v="5"/>
    <n v="0"/>
    <n v="37.789499999999997"/>
  </r>
  <r>
    <n v="407"/>
    <s v="CA-2017-117457"/>
    <d v="2017-12-08T00:00:00"/>
    <d v="2017-12-12T00:00:00"/>
    <x v="4"/>
    <x v="3"/>
    <s v="Standard Class"/>
    <s v="KH-16510"/>
    <x v="168"/>
    <s v="Consumer"/>
    <s v="United States"/>
    <s v="San Francisco"/>
    <x v="1"/>
    <n v="94110"/>
    <s v="West"/>
    <s v="TEC-CO-10004115"/>
    <x v="2"/>
    <x v="16"/>
    <s v="Sharp AL-1530CS Digital Copier"/>
    <n v="1199.9760000000001"/>
    <n v="3"/>
    <n v="0.2"/>
    <n v="434.99130000000002"/>
  </r>
  <r>
    <n v="408"/>
    <s v="CA-2017-117457"/>
    <d v="2017-12-08T00:00:00"/>
    <d v="2017-12-12T00:00:00"/>
    <x v="4"/>
    <x v="3"/>
    <s v="Standard Class"/>
    <s v="KH-16510"/>
    <x v="168"/>
    <s v="Consumer"/>
    <s v="United States"/>
    <s v="San Francisco"/>
    <x v="1"/>
    <n v="94110"/>
    <s v="West"/>
    <s v="OFF-PA-10003724"/>
    <x v="1"/>
    <x v="10"/>
    <s v="Wirebound Message Book, 4 per Page"/>
    <n v="27.15"/>
    <n v="5"/>
    <n v="0"/>
    <n v="13.3035"/>
  </r>
  <r>
    <n v="409"/>
    <s v="CA-2017-117457"/>
    <d v="2017-12-08T00:00:00"/>
    <d v="2017-12-12T00:00:00"/>
    <x v="4"/>
    <x v="3"/>
    <s v="Standard Class"/>
    <s v="KH-16510"/>
    <x v="168"/>
    <s v="Consumer"/>
    <s v="United States"/>
    <s v="San Francisco"/>
    <x v="1"/>
    <n v="94110"/>
    <s v="West"/>
    <s v="FUR-TA-10002041"/>
    <x v="0"/>
    <x v="3"/>
    <s v="Bevis Round Conference Table Top, X-Base"/>
    <n v="1004.024"/>
    <n v="7"/>
    <n v="0.2"/>
    <n v="-112.95269999999999"/>
  </r>
  <r>
    <n v="410"/>
    <s v="CA-2017-117457"/>
    <d v="2017-12-08T00:00:00"/>
    <d v="2017-12-12T00:00:00"/>
    <x v="4"/>
    <x v="3"/>
    <s v="Standard Class"/>
    <s v="KH-16510"/>
    <x v="168"/>
    <s v="Consumer"/>
    <s v="United States"/>
    <s v="San Francisco"/>
    <x v="1"/>
    <n v="94110"/>
    <s v="West"/>
    <s v="OFF-PA-10002893"/>
    <x v="1"/>
    <x v="10"/>
    <s v="Wirebound Service Call Books, 5 1/2&quot; x 4&quot;"/>
    <n v="9.68"/>
    <n v="1"/>
    <n v="0"/>
    <n v="4.6463999999999999"/>
  </r>
  <r>
    <n v="411"/>
    <s v="CA-2017-117457"/>
    <d v="2017-12-08T00:00:00"/>
    <d v="2017-12-12T00:00:00"/>
    <x v="4"/>
    <x v="3"/>
    <s v="Standard Class"/>
    <s v="KH-16510"/>
    <x v="168"/>
    <s v="Consumer"/>
    <s v="United States"/>
    <s v="San Francisco"/>
    <x v="1"/>
    <n v="94110"/>
    <s v="West"/>
    <s v="OFF-LA-10003766"/>
    <x v="1"/>
    <x v="2"/>
    <s v="Self-Adhesive Removable Labels"/>
    <n v="28.35"/>
    <n v="9"/>
    <n v="0"/>
    <n v="13.608000000000001"/>
  </r>
  <r>
    <n v="412"/>
    <s v="CA-2017-117457"/>
    <d v="2017-12-08T00:00:00"/>
    <d v="2017-12-12T00:00:00"/>
    <x v="4"/>
    <x v="3"/>
    <s v="Standard Class"/>
    <s v="KH-16510"/>
    <x v="168"/>
    <s v="Consumer"/>
    <s v="United States"/>
    <s v="San Francisco"/>
    <x v="1"/>
    <n v="94110"/>
    <s v="West"/>
    <s v="OFF-PA-10001970"/>
    <x v="1"/>
    <x v="10"/>
    <s v="Xerox 1908"/>
    <n v="55.98"/>
    <n v="1"/>
    <n v="0"/>
    <n v="27.430199999999999"/>
  </r>
  <r>
    <n v="413"/>
    <s v="CA-2017-117457"/>
    <d v="2017-12-08T00:00:00"/>
    <d v="2017-12-12T00:00:00"/>
    <x v="4"/>
    <x v="3"/>
    <s v="Standard Class"/>
    <s v="KH-16510"/>
    <x v="168"/>
    <s v="Consumer"/>
    <s v="United States"/>
    <s v="San Francisco"/>
    <x v="1"/>
    <n v="94110"/>
    <s v="West"/>
    <s v="FUR-BO-10001972"/>
    <x v="0"/>
    <x v="0"/>
    <s v="O'Sullivan 4-Shelf Bookcase in Odessa Pine"/>
    <n v="1336.829"/>
    <n v="13"/>
    <n v="0.15"/>
    <n v="31.454799999999999"/>
  </r>
  <r>
    <n v="414"/>
    <s v="CA-2017-117457"/>
    <d v="2017-12-08T00:00:00"/>
    <d v="2017-12-12T00:00:00"/>
    <x v="4"/>
    <x v="3"/>
    <s v="Standard Class"/>
    <s v="KH-16510"/>
    <x v="168"/>
    <s v="Consumer"/>
    <s v="United States"/>
    <s v="San Francisco"/>
    <x v="1"/>
    <n v="94110"/>
    <s v="West"/>
    <s v="FUR-CH-10003956"/>
    <x v="0"/>
    <x v="1"/>
    <s v="Novimex High-Tech Fabric Mesh Task Chair"/>
    <n v="113.568"/>
    <n v="2"/>
    <n v="0.2"/>
    <n v="-18.454799999999999"/>
  </r>
  <r>
    <n v="415"/>
    <s v="CA-2017-142636"/>
    <d v="2017-11-03T00:00:00"/>
    <d v="2017-11-07T00:00:00"/>
    <x v="0"/>
    <x v="3"/>
    <s v="Standard Class"/>
    <s v="KC-16675"/>
    <x v="169"/>
    <s v="Corporate"/>
    <s v="United States"/>
    <s v="Seattle"/>
    <x v="4"/>
    <n v="98105"/>
    <s v="West"/>
    <s v="OFF-PA-10000157"/>
    <x v="1"/>
    <x v="10"/>
    <s v="Xerox 191"/>
    <n v="139.86000000000001"/>
    <n v="7"/>
    <n v="0"/>
    <n v="65.734200000000001"/>
  </r>
  <r>
    <n v="416"/>
    <s v="CA-2017-142636"/>
    <d v="2017-11-03T00:00:00"/>
    <d v="2017-11-07T00:00:00"/>
    <x v="0"/>
    <x v="3"/>
    <s v="Standard Class"/>
    <s v="KC-16675"/>
    <x v="169"/>
    <s v="Corporate"/>
    <s v="United States"/>
    <s v="Seattle"/>
    <x v="4"/>
    <n v="98105"/>
    <s v="West"/>
    <s v="FUR-CH-10001891"/>
    <x v="0"/>
    <x v="1"/>
    <s v="Global Deluxe Office Fabric Chairs"/>
    <n v="307.13600000000002"/>
    <n v="4"/>
    <n v="0.2"/>
    <n v="26.874400000000001"/>
  </r>
  <r>
    <n v="417"/>
    <s v="CA-2017-122105"/>
    <d v="2017-06-24T00:00:00"/>
    <d v="2017-06-28T00:00:00"/>
    <x v="1"/>
    <x v="3"/>
    <s v="Standard Class"/>
    <s v="CJ-12010"/>
    <x v="170"/>
    <s v="Consumer"/>
    <s v="United States"/>
    <s v="Huntington Beach"/>
    <x v="1"/>
    <n v="92646"/>
    <s v="West"/>
    <s v="OFF-AR-10004344"/>
    <x v="1"/>
    <x v="6"/>
    <s v="Bulldog Vacuum Base Pencil Sharpener"/>
    <n v="95.92"/>
    <n v="8"/>
    <n v="0"/>
    <n v="25.898399999999999"/>
  </r>
  <r>
    <n v="418"/>
    <s v="CA-2016-148796"/>
    <d v="2016-04-14T00:00:00"/>
    <d v="2016-04-18T00:00:00"/>
    <x v="3"/>
    <x v="0"/>
    <s v="Standard Class"/>
    <s v="PB-19150"/>
    <x v="171"/>
    <s v="Consumer"/>
    <s v="United States"/>
    <s v="Los Angeles"/>
    <x v="1"/>
    <n v="90004"/>
    <s v="West"/>
    <s v="FUR-CH-10004886"/>
    <x v="0"/>
    <x v="1"/>
    <s v="Bevis Steel Folding Chairs"/>
    <n v="383.8"/>
    <n v="5"/>
    <n v="0.2"/>
    <n v="38.380000000000003"/>
  </r>
  <r>
    <n v="419"/>
    <s v="CA-2017-154816"/>
    <d v="2017-11-06T00:00:00"/>
    <d v="2017-11-10T00:00:00"/>
    <x v="0"/>
    <x v="3"/>
    <s v="Standard Class"/>
    <s v="VB-21745"/>
    <x v="146"/>
    <s v="Corporate"/>
    <s v="United States"/>
    <s v="Richmond"/>
    <x v="0"/>
    <n v="40475"/>
    <s v="South"/>
    <s v="OFF-PA-10003845"/>
    <x v="1"/>
    <x v="10"/>
    <s v="Xerox 1987"/>
    <n v="5.78"/>
    <n v="1"/>
    <n v="0"/>
    <n v="2.8321999999999998"/>
  </r>
  <r>
    <n v="420"/>
    <s v="CA-2017-110478"/>
    <d v="2017-03-04T00:00:00"/>
    <d v="2017-03-09T00:00:00"/>
    <x v="10"/>
    <x v="3"/>
    <s v="Standard Class"/>
    <s v="SP-20860"/>
    <x v="133"/>
    <s v="Corporate"/>
    <s v="United States"/>
    <s v="Los Angeles"/>
    <x v="1"/>
    <n v="90045"/>
    <s v="West"/>
    <s v="OFF-AR-10001573"/>
    <x v="1"/>
    <x v="6"/>
    <s v="American Pencil"/>
    <n v="9.32"/>
    <n v="4"/>
    <n v="0"/>
    <n v="2.7027999999999999"/>
  </r>
  <r>
    <n v="421"/>
    <s v="CA-2017-110478"/>
    <d v="2017-03-04T00:00:00"/>
    <d v="2017-03-09T00:00:00"/>
    <x v="10"/>
    <x v="3"/>
    <s v="Standard Class"/>
    <s v="SP-20860"/>
    <x v="133"/>
    <s v="Corporate"/>
    <s v="United States"/>
    <s v="Los Angeles"/>
    <x v="1"/>
    <n v="90045"/>
    <s v="West"/>
    <s v="OFF-EN-10000483"/>
    <x v="1"/>
    <x v="12"/>
    <s v="White Envelopes, White Envelopes with Clear Poly Window"/>
    <n v="15.25"/>
    <n v="1"/>
    <n v="0"/>
    <n v="7.0149999999999997"/>
  </r>
  <r>
    <n v="422"/>
    <s v="CA-2014-142048"/>
    <d v="2014-06-22T00:00:00"/>
    <d v="2014-06-25T00:00:00"/>
    <x v="1"/>
    <x v="2"/>
    <s v="First Class"/>
    <s v="JE-15745"/>
    <x v="32"/>
    <s v="Consumer"/>
    <s v="United States"/>
    <s v="Louisville"/>
    <x v="22"/>
    <n v="80027"/>
    <s v="West"/>
    <s v="TEC-AC-10004114"/>
    <x v="2"/>
    <x v="11"/>
    <s v="KeyTronic 6101 Series - Keyboard - Black"/>
    <n v="196.75200000000001"/>
    <n v="6"/>
    <n v="0.2"/>
    <n v="56.566200000000002"/>
  </r>
  <r>
    <n v="423"/>
    <s v="CA-2017-125388"/>
    <d v="2017-10-19T00:00:00"/>
    <d v="2017-10-23T00:00:00"/>
    <x v="2"/>
    <x v="3"/>
    <s v="Standard Class"/>
    <s v="MP-17965"/>
    <x v="172"/>
    <s v="Corporate"/>
    <s v="United States"/>
    <s v="Lawrence"/>
    <x v="31"/>
    <n v="1841"/>
    <s v="East"/>
    <s v="FUR-FU-10004712"/>
    <x v="0"/>
    <x v="5"/>
    <s v="Westinghouse Mesh Shade Clip-On Gooseneck Lamp, Black"/>
    <n v="56.56"/>
    <n v="4"/>
    <n v="0"/>
    <n v="14.7056"/>
  </r>
  <r>
    <n v="424"/>
    <s v="CA-2017-125388"/>
    <d v="2017-10-19T00:00:00"/>
    <d v="2017-10-23T00:00:00"/>
    <x v="2"/>
    <x v="3"/>
    <s v="Standard Class"/>
    <s v="MP-17965"/>
    <x v="172"/>
    <s v="Corporate"/>
    <s v="United States"/>
    <s v="Lawrence"/>
    <x v="31"/>
    <n v="1841"/>
    <s v="East"/>
    <s v="OFF-ST-10000918"/>
    <x v="1"/>
    <x v="4"/>
    <s v="Crate-A-Files"/>
    <n v="32.700000000000003"/>
    <n v="3"/>
    <n v="0"/>
    <n v="8.5020000000000007"/>
  </r>
  <r>
    <n v="425"/>
    <s v="CA-2017-155705"/>
    <d v="2017-08-21T00:00:00"/>
    <d v="2017-08-23T00:00:00"/>
    <x v="6"/>
    <x v="3"/>
    <s v="Second Class"/>
    <s v="NF-18385"/>
    <x v="173"/>
    <s v="Consumer"/>
    <s v="United States"/>
    <s v="Jackson"/>
    <x v="35"/>
    <n v="39212"/>
    <s v="South"/>
    <s v="FUR-CH-10000015"/>
    <x v="0"/>
    <x v="1"/>
    <s v="Hon Multipurpose Stacking Arm Chairs"/>
    <n v="866.4"/>
    <n v="4"/>
    <n v="0"/>
    <n v="225.26400000000001"/>
  </r>
  <r>
    <n v="426"/>
    <s v="CA-2017-149160"/>
    <d v="2017-11-23T00:00:00"/>
    <d v="2017-11-26T00:00:00"/>
    <x v="0"/>
    <x v="3"/>
    <s v="Second Class"/>
    <s v="JM-15265"/>
    <x v="25"/>
    <s v="Corporate"/>
    <s v="United States"/>
    <s v="Canton"/>
    <x v="12"/>
    <n v="48187"/>
    <s v="Central"/>
    <s v="FUR-FU-10003347"/>
    <x v="0"/>
    <x v="5"/>
    <s v="Coloredge Poster Frame"/>
    <n v="28.4"/>
    <n v="2"/>
    <n v="0"/>
    <n v="11.076000000000001"/>
  </r>
  <r>
    <n v="427"/>
    <s v="CA-2017-149160"/>
    <d v="2017-11-23T00:00:00"/>
    <d v="2017-11-26T00:00:00"/>
    <x v="0"/>
    <x v="3"/>
    <s v="Second Class"/>
    <s v="JM-15265"/>
    <x v="25"/>
    <s v="Corporate"/>
    <s v="United States"/>
    <s v="Canton"/>
    <x v="12"/>
    <n v="48187"/>
    <s v="Central"/>
    <s v="OFF-BI-10001543"/>
    <x v="1"/>
    <x v="8"/>
    <s v="GBC VeloBinder Manual Binding System"/>
    <n v="287.92"/>
    <n v="8"/>
    <n v="0"/>
    <n v="138.20160000000001"/>
  </r>
  <r>
    <n v="428"/>
    <s v="CA-2014-101476"/>
    <d v="2014-09-12T00:00:00"/>
    <d v="2014-09-13T00:00:00"/>
    <x v="8"/>
    <x v="2"/>
    <s v="First Class"/>
    <s v="SD-20485"/>
    <x v="174"/>
    <s v="Home Office"/>
    <s v="United States"/>
    <s v="New Rochelle"/>
    <x v="15"/>
    <n v="10801"/>
    <s v="East"/>
    <s v="TEC-MA-10000029"/>
    <x v="2"/>
    <x v="15"/>
    <s v="Epson WorkForce WF-2530 All-in-One Printer, Copier Scanner"/>
    <n v="69.989999999999995"/>
    <n v="1"/>
    <n v="0"/>
    <n v="30.095700000000001"/>
  </r>
  <r>
    <n v="429"/>
    <s v="CA-2017-152275"/>
    <d v="2017-10-01T00:00:00"/>
    <d v="2017-10-08T00:00:00"/>
    <x v="2"/>
    <x v="3"/>
    <s v="Standard Class"/>
    <s v="KH-16630"/>
    <x v="175"/>
    <s v="Corporate"/>
    <s v="United States"/>
    <s v="San Antonio"/>
    <x v="5"/>
    <n v="78207"/>
    <s v="Central"/>
    <s v="OFF-AR-10000369"/>
    <x v="1"/>
    <x v="6"/>
    <s v="Design Ebony Sketching Pencil"/>
    <n v="6.6719999999999997"/>
    <n v="6"/>
    <n v="0.2"/>
    <n v="0.50039999999999996"/>
  </r>
  <r>
    <n v="430"/>
    <s v="US-2016-123750"/>
    <d v="2016-04-15T00:00:00"/>
    <d v="2016-04-21T00:00:00"/>
    <x v="3"/>
    <x v="0"/>
    <s v="Standard Class"/>
    <s v="RB-19795"/>
    <x v="176"/>
    <s v="Home Office"/>
    <s v="United States"/>
    <s v="Gastonia"/>
    <x v="3"/>
    <n v="28052"/>
    <s v="South"/>
    <s v="OFF-BI-10004584"/>
    <x v="1"/>
    <x v="8"/>
    <s v="GBC ProClick 150 Presentation Binding System"/>
    <n v="189.58799999999999"/>
    <n v="2"/>
    <n v="0.7"/>
    <n v="-145.35079999999999"/>
  </r>
  <r>
    <n v="431"/>
    <s v="US-2016-123750"/>
    <d v="2016-04-15T00:00:00"/>
    <d v="2016-04-21T00:00:00"/>
    <x v="3"/>
    <x v="0"/>
    <s v="Standard Class"/>
    <s v="RB-19795"/>
    <x v="176"/>
    <s v="Home Office"/>
    <s v="United States"/>
    <s v="Gastonia"/>
    <x v="3"/>
    <n v="28052"/>
    <s v="South"/>
    <s v="TEC-AC-10004659"/>
    <x v="2"/>
    <x v="11"/>
    <s v="Imation Secure+ Hardware Encrypted USB 2.0 Flash Drive; 16GB"/>
    <n v="408.74400000000003"/>
    <n v="7"/>
    <n v="0.2"/>
    <n v="76.639499999999998"/>
  </r>
  <r>
    <n v="432"/>
    <s v="US-2016-123750"/>
    <d v="2016-04-15T00:00:00"/>
    <d v="2016-04-21T00:00:00"/>
    <x v="3"/>
    <x v="0"/>
    <s v="Standard Class"/>
    <s v="RB-19795"/>
    <x v="176"/>
    <s v="Home Office"/>
    <s v="United States"/>
    <s v="Gastonia"/>
    <x v="3"/>
    <n v="28052"/>
    <s v="South"/>
    <s v="TEC-AC-10004659"/>
    <x v="2"/>
    <x v="11"/>
    <s v="Imation Secure+ Hardware Encrypted USB 2.0 Flash Drive; 16GB"/>
    <n v="291.95999999999998"/>
    <n v="5"/>
    <n v="0.2"/>
    <n v="54.7425"/>
  </r>
  <r>
    <n v="433"/>
    <s v="US-2016-123750"/>
    <d v="2016-04-15T00:00:00"/>
    <d v="2016-04-21T00:00:00"/>
    <x v="3"/>
    <x v="0"/>
    <s v="Standard Class"/>
    <s v="RB-19795"/>
    <x v="176"/>
    <s v="Home Office"/>
    <s v="United States"/>
    <s v="Gastonia"/>
    <x v="3"/>
    <n v="28052"/>
    <s v="South"/>
    <s v="OFF-ST-10000617"/>
    <x v="1"/>
    <x v="4"/>
    <s v="Woodgrain Magazine Files by Perma"/>
    <n v="4.7679999999999998"/>
    <n v="2"/>
    <n v="0.2"/>
    <n v="-0.77480000000000004"/>
  </r>
  <r>
    <n v="434"/>
    <s v="CA-2016-127369"/>
    <d v="2016-06-06T00:00:00"/>
    <d v="2016-06-07T00:00:00"/>
    <x v="1"/>
    <x v="0"/>
    <s v="First Class"/>
    <s v="DB-13060"/>
    <x v="72"/>
    <s v="Consumer"/>
    <s v="United States"/>
    <s v="Lowell"/>
    <x v="31"/>
    <n v="1852"/>
    <s v="East"/>
    <s v="OFF-ST-10003306"/>
    <x v="1"/>
    <x v="4"/>
    <s v="Letter Size Cart"/>
    <n v="714.3"/>
    <n v="5"/>
    <n v="0"/>
    <n v="207.14699999999999"/>
  </r>
  <r>
    <n v="435"/>
    <s v="US-2014-150574"/>
    <d v="2014-12-19T00:00:00"/>
    <d v="2014-12-25T00:00:00"/>
    <x v="4"/>
    <x v="2"/>
    <s v="Standard Class"/>
    <s v="MK-18160"/>
    <x v="177"/>
    <s v="Consumer"/>
    <s v="United States"/>
    <s v="Jacksonville"/>
    <x v="2"/>
    <n v="32216"/>
    <s v="South"/>
    <s v="OFF-BI-10000773"/>
    <x v="1"/>
    <x v="8"/>
    <s v="Insertable Tab Post Binder Dividers"/>
    <n v="4.8120000000000003"/>
    <n v="2"/>
    <n v="0.7"/>
    <n v="-3.6892"/>
  </r>
  <r>
    <n v="436"/>
    <s v="US-2014-150574"/>
    <d v="2014-12-19T00:00:00"/>
    <d v="2014-12-25T00:00:00"/>
    <x v="4"/>
    <x v="2"/>
    <s v="Standard Class"/>
    <s v="MK-18160"/>
    <x v="177"/>
    <s v="Consumer"/>
    <s v="United States"/>
    <s v="Jacksonville"/>
    <x v="2"/>
    <n v="32216"/>
    <s v="South"/>
    <s v="TEC-AC-10002600"/>
    <x v="2"/>
    <x v="11"/>
    <s v="Belkin QODE FastFit Bluetooth Keyboard"/>
    <n v="247.8"/>
    <n v="5"/>
    <n v="0.2"/>
    <n v="-18.585000000000001"/>
  </r>
  <r>
    <n v="437"/>
    <s v="CA-2016-147375"/>
    <d v="2016-06-12T00:00:00"/>
    <d v="2016-06-14T00:00:00"/>
    <x v="1"/>
    <x v="0"/>
    <s v="Second Class"/>
    <s v="PO-19180"/>
    <x v="178"/>
    <s v="Home Office"/>
    <s v="United States"/>
    <s v="Chicago"/>
    <x v="10"/>
    <n v="60623"/>
    <s v="Central"/>
    <s v="TEC-MA-10002937"/>
    <x v="2"/>
    <x v="15"/>
    <s v="Canon Color ImageCLASS MF8580Cdw Wireless Laser All-In-One Printer, Copier, Scanner"/>
    <n v="1007.979"/>
    <n v="3"/>
    <n v="0.3"/>
    <n v="43.199100000000001"/>
  </r>
  <r>
    <n v="438"/>
    <s v="CA-2016-147375"/>
    <d v="2016-06-12T00:00:00"/>
    <d v="2016-06-14T00:00:00"/>
    <x v="1"/>
    <x v="0"/>
    <s v="Second Class"/>
    <s v="PO-19180"/>
    <x v="178"/>
    <s v="Home Office"/>
    <s v="United States"/>
    <s v="Chicago"/>
    <x v="10"/>
    <n v="60623"/>
    <s v="Central"/>
    <s v="OFF-PA-10001970"/>
    <x v="1"/>
    <x v="10"/>
    <s v="Xerox 1908"/>
    <n v="313.488"/>
    <n v="7"/>
    <n v="0.2"/>
    <n v="113.63939999999999"/>
  </r>
  <r>
    <n v="439"/>
    <s v="CA-2017-130043"/>
    <d v="2017-09-15T00:00:00"/>
    <d v="2017-09-19T00:00:00"/>
    <x v="8"/>
    <x v="3"/>
    <s v="Standard Class"/>
    <s v="BB-11545"/>
    <x v="179"/>
    <s v="Corporate"/>
    <s v="United States"/>
    <s v="Houston"/>
    <x v="5"/>
    <n v="77070"/>
    <s v="Central"/>
    <s v="OFF-PA-10002230"/>
    <x v="1"/>
    <x v="10"/>
    <s v="Xerox 1897"/>
    <n v="31.872"/>
    <n v="8"/>
    <n v="0.2"/>
    <n v="11.553599999999999"/>
  </r>
  <r>
    <n v="440"/>
    <s v="CA-2017-157252"/>
    <d v="2017-01-20T00:00:00"/>
    <d v="2017-01-23T00:00:00"/>
    <x v="9"/>
    <x v="3"/>
    <s v="Second Class"/>
    <s v="CV-12805"/>
    <x v="51"/>
    <s v="Corporate"/>
    <s v="United States"/>
    <s v="New York City"/>
    <x v="15"/>
    <n v="10024"/>
    <s v="East"/>
    <s v="FUR-CH-10003396"/>
    <x v="0"/>
    <x v="1"/>
    <s v="Global Deluxe Steno Chair"/>
    <n v="207.846"/>
    <n v="3"/>
    <n v="0.1"/>
    <n v="2.3094000000000001"/>
  </r>
  <r>
    <n v="441"/>
    <s v="CA-2016-115756"/>
    <d v="2016-09-05T00:00:00"/>
    <d v="2016-09-07T00:00:00"/>
    <x v="8"/>
    <x v="0"/>
    <s v="Second Class"/>
    <s v="PK-19075"/>
    <x v="7"/>
    <s v="Consumer"/>
    <s v="United States"/>
    <s v="Detroit"/>
    <x v="12"/>
    <n v="48227"/>
    <s v="Central"/>
    <s v="FUR-FU-10000246"/>
    <x v="0"/>
    <x v="5"/>
    <s v="Aluminum Document Frame"/>
    <n v="12.22"/>
    <n v="1"/>
    <n v="0"/>
    <n v="3.6659999999999999"/>
  </r>
  <r>
    <n v="442"/>
    <s v="CA-2016-115756"/>
    <d v="2016-09-05T00:00:00"/>
    <d v="2016-09-07T00:00:00"/>
    <x v="8"/>
    <x v="0"/>
    <s v="Second Class"/>
    <s v="PK-19075"/>
    <x v="7"/>
    <s v="Consumer"/>
    <s v="United States"/>
    <s v="Detroit"/>
    <x v="12"/>
    <n v="48227"/>
    <s v="Central"/>
    <s v="OFF-ST-10000060"/>
    <x v="1"/>
    <x v="4"/>
    <s v="Fellowes Bankers Box Staxonsteel Drawer File/Stacking System"/>
    <n v="194.94"/>
    <n v="3"/>
    <n v="0"/>
    <n v="23.392800000000001"/>
  </r>
  <r>
    <n v="443"/>
    <s v="CA-2016-115756"/>
    <d v="2016-09-05T00:00:00"/>
    <d v="2016-09-07T00:00:00"/>
    <x v="8"/>
    <x v="0"/>
    <s v="Second Class"/>
    <s v="PK-19075"/>
    <x v="7"/>
    <s v="Consumer"/>
    <s v="United States"/>
    <s v="Detroit"/>
    <x v="12"/>
    <n v="48227"/>
    <s v="Central"/>
    <s v="OFF-ST-10003058"/>
    <x v="1"/>
    <x v="4"/>
    <s v="Eldon Mobile Mega Data Cart  Mega Stackable  Add-On Trays"/>
    <n v="70.95"/>
    <n v="3"/>
    <n v="0"/>
    <n v="20.575500000000002"/>
  </r>
  <r>
    <n v="444"/>
    <s v="CA-2016-115756"/>
    <d v="2016-09-05T00:00:00"/>
    <d v="2016-09-07T00:00:00"/>
    <x v="8"/>
    <x v="0"/>
    <s v="Second Class"/>
    <s v="PK-19075"/>
    <x v="7"/>
    <s v="Consumer"/>
    <s v="United States"/>
    <s v="Detroit"/>
    <x v="12"/>
    <n v="48227"/>
    <s v="Central"/>
    <s v="OFF-PA-10002222"/>
    <x v="1"/>
    <x v="10"/>
    <s v="Xerox Color Copier Paper, 11&quot; x 17&quot;, Ream"/>
    <n v="91.36"/>
    <n v="4"/>
    <n v="0"/>
    <n v="42.025599999999997"/>
  </r>
  <r>
    <n v="445"/>
    <s v="CA-2016-115756"/>
    <d v="2016-09-05T00:00:00"/>
    <d v="2016-09-07T00:00:00"/>
    <x v="8"/>
    <x v="0"/>
    <s v="Second Class"/>
    <s v="PK-19075"/>
    <x v="7"/>
    <s v="Consumer"/>
    <s v="United States"/>
    <s v="Detroit"/>
    <x v="12"/>
    <n v="48227"/>
    <s v="Central"/>
    <s v="FUR-CH-10002372"/>
    <x v="0"/>
    <x v="1"/>
    <s v="Office Star - Ergonomically Designed Knee Chair"/>
    <n v="242.94"/>
    <n v="3"/>
    <n v="0"/>
    <n v="29.152799999999999"/>
  </r>
  <r>
    <n v="446"/>
    <s v="CA-2016-115756"/>
    <d v="2016-09-05T00:00:00"/>
    <d v="2016-09-07T00:00:00"/>
    <x v="8"/>
    <x v="0"/>
    <s v="Second Class"/>
    <s v="PK-19075"/>
    <x v="7"/>
    <s v="Consumer"/>
    <s v="United States"/>
    <s v="Detroit"/>
    <x v="12"/>
    <n v="48227"/>
    <s v="Central"/>
    <s v="OFF-LA-10001317"/>
    <x v="1"/>
    <x v="2"/>
    <s v="Avery 520"/>
    <n v="22.05"/>
    <n v="7"/>
    <n v="0"/>
    <n v="10.584"/>
  </r>
  <r>
    <n v="447"/>
    <s v="CA-2017-154214"/>
    <d v="2017-03-20T00:00:00"/>
    <d v="2017-03-25T00:00:00"/>
    <x v="10"/>
    <x v="3"/>
    <s v="Second Class"/>
    <s v="TB-21595"/>
    <x v="180"/>
    <s v="Consumer"/>
    <s v="United States"/>
    <s v="Columbus"/>
    <x v="14"/>
    <n v="47201"/>
    <s v="Central"/>
    <s v="FUR-FU-10000206"/>
    <x v="0"/>
    <x v="5"/>
    <s v="GE General Purpose, Extra Long Life, Showcase &amp; Floodlight Incandescent Bulbs"/>
    <n v="2.91"/>
    <n v="1"/>
    <n v="0"/>
    <n v="1.3676999999999999"/>
  </r>
  <r>
    <n v="448"/>
    <s v="CA-2016-166674"/>
    <d v="2016-04-01T00:00:00"/>
    <d v="2016-04-03T00:00:00"/>
    <x v="3"/>
    <x v="0"/>
    <s v="Second Class"/>
    <s v="RB-19360"/>
    <x v="181"/>
    <s v="Consumer"/>
    <s v="United States"/>
    <s v="Auburn"/>
    <x v="15"/>
    <n v="13021"/>
    <s v="East"/>
    <s v="OFF-AR-10000588"/>
    <x v="1"/>
    <x v="6"/>
    <s v="Newell 345"/>
    <n v="59.52"/>
    <n v="3"/>
    <n v="0"/>
    <n v="15.475199999999999"/>
  </r>
  <r>
    <n v="449"/>
    <s v="CA-2016-166674"/>
    <d v="2016-04-01T00:00:00"/>
    <d v="2016-04-03T00:00:00"/>
    <x v="3"/>
    <x v="0"/>
    <s v="Second Class"/>
    <s v="RB-19360"/>
    <x v="181"/>
    <s v="Consumer"/>
    <s v="United States"/>
    <s v="Auburn"/>
    <x v="15"/>
    <n v="13021"/>
    <s v="East"/>
    <s v="OFF-ST-10001469"/>
    <x v="1"/>
    <x v="4"/>
    <s v="Fellowes Bankers Box Recycled Super Stor/Drawer"/>
    <n v="161.94"/>
    <n v="3"/>
    <n v="0"/>
    <n v="9.7164000000000001"/>
  </r>
  <r>
    <n v="450"/>
    <s v="CA-2016-166674"/>
    <d v="2016-04-01T00:00:00"/>
    <d v="2016-04-03T00:00:00"/>
    <x v="3"/>
    <x v="0"/>
    <s v="Second Class"/>
    <s v="RB-19360"/>
    <x v="181"/>
    <s v="Consumer"/>
    <s v="United States"/>
    <s v="Auburn"/>
    <x v="15"/>
    <n v="13021"/>
    <s v="East"/>
    <s v="OFF-AR-10001953"/>
    <x v="1"/>
    <x v="6"/>
    <s v="Boston 1645 Deluxe Heavier-Duty Electric Pencil Sharpener"/>
    <n v="263.88"/>
    <n v="6"/>
    <n v="0"/>
    <n v="71.247600000000006"/>
  </r>
  <r>
    <n v="451"/>
    <s v="CA-2016-166674"/>
    <d v="2016-04-01T00:00:00"/>
    <d v="2016-04-03T00:00:00"/>
    <x v="3"/>
    <x v="0"/>
    <s v="Second Class"/>
    <s v="RB-19360"/>
    <x v="181"/>
    <s v="Consumer"/>
    <s v="United States"/>
    <s v="Auburn"/>
    <x v="15"/>
    <n v="13021"/>
    <s v="East"/>
    <s v="OFF-AR-10003156"/>
    <x v="1"/>
    <x v="6"/>
    <s v="50 Colored Long Pencils"/>
    <n v="30.48"/>
    <n v="3"/>
    <n v="0"/>
    <n v="7.9248000000000003"/>
  </r>
  <r>
    <n v="452"/>
    <s v="CA-2016-166674"/>
    <d v="2016-04-01T00:00:00"/>
    <d v="2016-04-03T00:00:00"/>
    <x v="3"/>
    <x v="0"/>
    <s v="Second Class"/>
    <s v="RB-19360"/>
    <x v="181"/>
    <s v="Consumer"/>
    <s v="United States"/>
    <s v="Auburn"/>
    <x v="15"/>
    <n v="13021"/>
    <s v="East"/>
    <s v="OFF-AR-10004974"/>
    <x v="1"/>
    <x v="6"/>
    <s v="Newell 342"/>
    <n v="9.84"/>
    <n v="3"/>
    <n v="0"/>
    <n v="2.8536000000000001"/>
  </r>
  <r>
    <n v="453"/>
    <s v="CA-2016-166674"/>
    <d v="2016-04-01T00:00:00"/>
    <d v="2016-04-03T00:00:00"/>
    <x v="3"/>
    <x v="0"/>
    <s v="Second Class"/>
    <s v="RB-19360"/>
    <x v="181"/>
    <s v="Consumer"/>
    <s v="United States"/>
    <s v="Auburn"/>
    <x v="15"/>
    <n v="13021"/>
    <s v="East"/>
    <s v="TEC-PH-10002365"/>
    <x v="2"/>
    <x v="7"/>
    <s v="Belkin Grip Candy Sheer Case / Cover for iPhone 5 and 5S"/>
    <n v="35.119999999999997"/>
    <n v="4"/>
    <n v="0"/>
    <n v="9.1311999999999998"/>
  </r>
  <r>
    <n v="454"/>
    <s v="CA-2017-147277"/>
    <d v="2017-10-20T00:00:00"/>
    <d v="2017-10-24T00:00:00"/>
    <x v="2"/>
    <x v="3"/>
    <s v="Standard Class"/>
    <s v="EB-13705"/>
    <x v="182"/>
    <s v="Corporate"/>
    <s v="United States"/>
    <s v="Akron"/>
    <x v="24"/>
    <n v="44312"/>
    <s v="East"/>
    <s v="FUR-TA-10001539"/>
    <x v="0"/>
    <x v="3"/>
    <s v="Chromcraft Rectangular Conference Tables"/>
    <n v="284.36399999999998"/>
    <n v="2"/>
    <n v="0.4"/>
    <n v="-75.830399999999997"/>
  </r>
  <r>
    <n v="455"/>
    <s v="CA-2017-147277"/>
    <d v="2017-10-20T00:00:00"/>
    <d v="2017-10-24T00:00:00"/>
    <x v="2"/>
    <x v="3"/>
    <s v="Standard Class"/>
    <s v="EB-13705"/>
    <x v="182"/>
    <s v="Corporate"/>
    <s v="United States"/>
    <s v="Akron"/>
    <x v="24"/>
    <n v="44312"/>
    <s v="East"/>
    <s v="OFF-ST-10000142"/>
    <x v="1"/>
    <x v="4"/>
    <s v="Deluxe Rollaway Locking File with Drawer"/>
    <n v="665.40800000000002"/>
    <n v="2"/>
    <n v="0.2"/>
    <n v="66.540800000000004"/>
  </r>
  <r>
    <n v="456"/>
    <s v="CA-2016-100153"/>
    <d v="2016-12-13T00:00:00"/>
    <d v="2016-12-17T00:00:00"/>
    <x v="4"/>
    <x v="0"/>
    <s v="Standard Class"/>
    <s v="KH-16630"/>
    <x v="175"/>
    <s v="Corporate"/>
    <s v="United States"/>
    <s v="Norman"/>
    <x v="26"/>
    <n v="73071"/>
    <s v="Central"/>
    <s v="TEC-AC-10001772"/>
    <x v="2"/>
    <x v="11"/>
    <s v="Memorex Mini Travel Drive 16 GB USB 2.0 Flash Drive"/>
    <n v="63.88"/>
    <n v="4"/>
    <n v="0"/>
    <n v="24.9132"/>
  </r>
  <r>
    <n v="457"/>
    <s v="US-2014-110674"/>
    <d v="2014-02-12T00:00:00"/>
    <d v="2014-02-18T00:00:00"/>
    <x v="11"/>
    <x v="2"/>
    <s v="Standard Class"/>
    <s v="SC-20095"/>
    <x v="183"/>
    <s v="Consumer"/>
    <s v="United States"/>
    <s v="Concord"/>
    <x v="1"/>
    <n v="94521"/>
    <s v="West"/>
    <s v="FUR-CH-10000225"/>
    <x v="0"/>
    <x v="1"/>
    <s v="Global Geo Office Task Chair, Gray"/>
    <n v="129.56800000000001"/>
    <n v="2"/>
    <n v="0.2"/>
    <n v="-24.294"/>
  </r>
  <r>
    <n v="458"/>
    <s v="US-2016-157945"/>
    <d v="2016-09-26T00:00:00"/>
    <d v="2016-10-01T00:00:00"/>
    <x v="8"/>
    <x v="0"/>
    <s v="Standard Class"/>
    <s v="NF-18385"/>
    <x v="173"/>
    <s v="Consumer"/>
    <s v="United States"/>
    <s v="Decatur"/>
    <x v="10"/>
    <n v="62521"/>
    <s v="Central"/>
    <s v="FUR-CH-10002331"/>
    <x v="0"/>
    <x v="1"/>
    <s v="Hon 4700 Series Mobuis Mid-Back Task Chairs with Adjustable Arms"/>
    <n v="747.55799999999999"/>
    <n v="3"/>
    <n v="0.3"/>
    <n v="-96.114599999999996"/>
  </r>
  <r>
    <n v="459"/>
    <s v="US-2016-157945"/>
    <d v="2016-09-26T00:00:00"/>
    <d v="2016-10-01T00:00:00"/>
    <x v="8"/>
    <x v="0"/>
    <s v="Standard Class"/>
    <s v="NF-18385"/>
    <x v="173"/>
    <s v="Consumer"/>
    <s v="United States"/>
    <s v="Decatur"/>
    <x v="10"/>
    <n v="62521"/>
    <s v="Central"/>
    <s v="OFF-EN-10001415"/>
    <x v="1"/>
    <x v="12"/>
    <s v="Staple envelope"/>
    <n v="8.9280000000000008"/>
    <n v="2"/>
    <n v="0.2"/>
    <n v="3.3479999999999999"/>
  </r>
  <r>
    <n v="460"/>
    <s v="CA-2015-109638"/>
    <d v="2015-12-15T00:00:00"/>
    <d v="2015-12-22T00:00:00"/>
    <x v="4"/>
    <x v="1"/>
    <s v="Standard Class"/>
    <s v="JH-15985"/>
    <x v="98"/>
    <s v="Consumer"/>
    <s v="United States"/>
    <s v="Seattle"/>
    <x v="4"/>
    <n v="98115"/>
    <s v="West"/>
    <s v="OFF-AP-10002472"/>
    <x v="1"/>
    <x v="9"/>
    <s v="3M Office Air Cleaner"/>
    <n v="103.92"/>
    <n v="4"/>
    <n v="0"/>
    <n v="36.372"/>
  </r>
  <r>
    <n v="461"/>
    <s v="CA-2015-109638"/>
    <d v="2015-12-15T00:00:00"/>
    <d v="2015-12-22T00:00:00"/>
    <x v="4"/>
    <x v="1"/>
    <s v="Standard Class"/>
    <s v="JH-15985"/>
    <x v="98"/>
    <s v="Consumer"/>
    <s v="United States"/>
    <s v="Seattle"/>
    <x v="4"/>
    <n v="98115"/>
    <s v="West"/>
    <s v="TEC-AC-10004571"/>
    <x v="2"/>
    <x v="11"/>
    <s v="Logitech G700s Rechargeable Gaming Mouse"/>
    <n v="899.91"/>
    <n v="9"/>
    <n v="0"/>
    <n v="377.9622"/>
  </r>
  <r>
    <n v="462"/>
    <s v="CA-2015-109638"/>
    <d v="2015-12-15T00:00:00"/>
    <d v="2015-12-22T00:00:00"/>
    <x v="4"/>
    <x v="1"/>
    <s v="Standard Class"/>
    <s v="JH-15985"/>
    <x v="98"/>
    <s v="Consumer"/>
    <s v="United States"/>
    <s v="Seattle"/>
    <x v="4"/>
    <n v="98115"/>
    <s v="West"/>
    <s v="OFF-BI-10001098"/>
    <x v="1"/>
    <x v="8"/>
    <s v="Acco D-Ring Binder w/DublLock"/>
    <n v="51.311999999999998"/>
    <n v="3"/>
    <n v="0.2"/>
    <n v="18.6006"/>
  </r>
  <r>
    <n v="463"/>
    <s v="CA-2016-109869"/>
    <d v="2016-04-22T00:00:00"/>
    <d v="2016-04-29T00:00:00"/>
    <x v="3"/>
    <x v="0"/>
    <s v="Standard Class"/>
    <s v="TN-21040"/>
    <x v="184"/>
    <s v="Home Office"/>
    <s v="United States"/>
    <s v="Phoenix"/>
    <x v="16"/>
    <n v="85023"/>
    <s v="West"/>
    <s v="FUR-FU-10000023"/>
    <x v="0"/>
    <x v="5"/>
    <s v="Eldon Wave Desk Accessories"/>
    <n v="23.56"/>
    <n v="5"/>
    <n v="0.2"/>
    <n v="7.0679999999999996"/>
  </r>
  <r>
    <n v="464"/>
    <s v="CA-2016-109869"/>
    <d v="2016-04-22T00:00:00"/>
    <d v="2016-04-29T00:00:00"/>
    <x v="3"/>
    <x v="0"/>
    <s v="Standard Class"/>
    <s v="TN-21040"/>
    <x v="184"/>
    <s v="Home Office"/>
    <s v="United States"/>
    <s v="Phoenix"/>
    <x v="16"/>
    <n v="85023"/>
    <s v="West"/>
    <s v="FUR-TA-10001889"/>
    <x v="0"/>
    <x v="3"/>
    <s v="Bush Advantage Collection Racetrack Conference Table"/>
    <n v="1272.6300000000001"/>
    <n v="6"/>
    <n v="0.5"/>
    <n v="-814.48320000000001"/>
  </r>
  <r>
    <n v="465"/>
    <s v="CA-2016-109869"/>
    <d v="2016-04-22T00:00:00"/>
    <d v="2016-04-29T00:00:00"/>
    <x v="3"/>
    <x v="0"/>
    <s v="Standard Class"/>
    <s v="TN-21040"/>
    <x v="184"/>
    <s v="Home Office"/>
    <s v="United States"/>
    <s v="Phoenix"/>
    <x v="16"/>
    <n v="85023"/>
    <s v="West"/>
    <s v="OFF-BI-10000315"/>
    <x v="1"/>
    <x v="8"/>
    <s v="Poly Designer Cover &amp; Back"/>
    <n v="28.484999999999999"/>
    <n v="5"/>
    <n v="0.7"/>
    <n v="-20.888999999999999"/>
  </r>
  <r>
    <n v="466"/>
    <s v="CA-2016-109869"/>
    <d v="2016-04-22T00:00:00"/>
    <d v="2016-04-29T00:00:00"/>
    <x v="3"/>
    <x v="0"/>
    <s v="Standard Class"/>
    <s v="TN-21040"/>
    <x v="184"/>
    <s v="Home Office"/>
    <s v="United States"/>
    <s v="Phoenix"/>
    <x v="16"/>
    <n v="85023"/>
    <s v="West"/>
    <s v="OFF-SU-10003505"/>
    <x v="1"/>
    <x v="14"/>
    <s v="Premier Electric Letter Opener"/>
    <n v="185.376"/>
    <n v="2"/>
    <n v="0.2"/>
    <n v="-34.758000000000003"/>
  </r>
  <r>
    <n v="467"/>
    <s v="CA-2016-109869"/>
    <d v="2016-04-22T00:00:00"/>
    <d v="2016-04-29T00:00:00"/>
    <x v="3"/>
    <x v="0"/>
    <s v="Standard Class"/>
    <s v="TN-21040"/>
    <x v="184"/>
    <s v="Home Office"/>
    <s v="United States"/>
    <s v="Phoenix"/>
    <x v="16"/>
    <n v="85023"/>
    <s v="West"/>
    <s v="OFF-AP-10002578"/>
    <x v="1"/>
    <x v="9"/>
    <s v="Fellowes Premier Superior Surge Suppressor, 10-Outlet, With Phone and Remote"/>
    <n v="78.272000000000006"/>
    <n v="2"/>
    <n v="0.2"/>
    <n v="5.8704000000000001"/>
  </r>
  <r>
    <n v="468"/>
    <s v="US-2015-101399"/>
    <d v="2015-01-17T00:00:00"/>
    <d v="2015-01-24T00:00:00"/>
    <x v="9"/>
    <x v="1"/>
    <s v="Standard Class"/>
    <s v="JS-15940"/>
    <x v="185"/>
    <s v="Home Office"/>
    <s v="United States"/>
    <s v="Park Ridge"/>
    <x v="10"/>
    <n v="60068"/>
    <s v="Central"/>
    <s v="FUR-FU-10002918"/>
    <x v="0"/>
    <x v="5"/>
    <s v="Eldon ClusterMat Chair Mat with Cordless Antistatic Protection"/>
    <n v="254.744"/>
    <n v="7"/>
    <n v="0.6"/>
    <n v="-312.06139999999999"/>
  </r>
  <r>
    <n v="469"/>
    <s v="CA-2017-154907"/>
    <d v="2017-03-31T00:00:00"/>
    <d v="2017-04-04T00:00:00"/>
    <x v="10"/>
    <x v="3"/>
    <s v="Standard Class"/>
    <s v="DS-13180"/>
    <x v="103"/>
    <s v="Corporate"/>
    <s v="United States"/>
    <s v="Amarillo"/>
    <x v="5"/>
    <n v="79109"/>
    <s v="Central"/>
    <s v="FUR-BO-10002824"/>
    <x v="0"/>
    <x v="0"/>
    <s v="Bush Mission Pointe Library"/>
    <n v="205.33279999999999"/>
    <n v="2"/>
    <n v="0.32"/>
    <n v="-36.235199999999999"/>
  </r>
  <r>
    <n v="470"/>
    <s v="US-2016-100419"/>
    <d v="2016-12-16T00:00:00"/>
    <d v="2016-12-20T00:00:00"/>
    <x v="4"/>
    <x v="0"/>
    <s v="Second Class"/>
    <s v="CC-12670"/>
    <x v="113"/>
    <s v="Consumer"/>
    <s v="United States"/>
    <s v="Chicago"/>
    <x v="10"/>
    <n v="60610"/>
    <s v="Central"/>
    <s v="OFF-BI-10002194"/>
    <x v="1"/>
    <x v="8"/>
    <s v="Cardinal Hold-It CD Pocket"/>
    <n v="4.7880000000000003"/>
    <n v="3"/>
    <n v="0.8"/>
    <n v="-7.9001999999999999"/>
  </r>
  <r>
    <n v="471"/>
    <s v="CA-2015-154144"/>
    <d v="2015-12-20T00:00:00"/>
    <d v="2015-12-24T00:00:00"/>
    <x v="4"/>
    <x v="1"/>
    <s v="Standard Class"/>
    <s v="MH-17785"/>
    <x v="186"/>
    <s v="Corporate"/>
    <s v="United States"/>
    <s v="Lindenhurst"/>
    <x v="15"/>
    <n v="11757"/>
    <s v="East"/>
    <s v="OFF-PA-10004071"/>
    <x v="1"/>
    <x v="10"/>
    <s v="Eaton Premium Continuous-Feed Paper, 25% Cotton, Letter Size, White, 1000 Shts/Box"/>
    <n v="55.48"/>
    <n v="1"/>
    <n v="0"/>
    <n v="26.630400000000002"/>
  </r>
  <r>
    <n v="472"/>
    <s v="CA-2014-144666"/>
    <d v="2014-11-09T00:00:00"/>
    <d v="2014-11-11T00:00:00"/>
    <x v="0"/>
    <x v="2"/>
    <s v="Second Class"/>
    <s v="JP-15520"/>
    <x v="187"/>
    <s v="Consumer"/>
    <s v="United States"/>
    <s v="San Francisco"/>
    <x v="1"/>
    <n v="94110"/>
    <s v="West"/>
    <s v="OFF-ST-10002743"/>
    <x v="1"/>
    <x v="4"/>
    <s v="SAFCO Boltless Steel Shelving"/>
    <n v="340.92"/>
    <n v="3"/>
    <n v="0"/>
    <n v="3.4091999999999998"/>
  </r>
  <r>
    <n v="473"/>
    <s v="CA-2014-144666"/>
    <d v="2014-11-09T00:00:00"/>
    <d v="2014-11-11T00:00:00"/>
    <x v="0"/>
    <x v="2"/>
    <s v="Second Class"/>
    <s v="JP-15520"/>
    <x v="187"/>
    <s v="Consumer"/>
    <s v="United States"/>
    <s v="San Francisco"/>
    <x v="1"/>
    <n v="94110"/>
    <s v="West"/>
    <s v="FUR-BO-10001601"/>
    <x v="0"/>
    <x v="0"/>
    <s v="Sauder Mission Library with Doors, Fruitwood Finish"/>
    <n v="222.666"/>
    <n v="2"/>
    <n v="0.15"/>
    <n v="10.478400000000001"/>
  </r>
  <r>
    <n v="474"/>
    <s v="CA-2014-144666"/>
    <d v="2014-11-09T00:00:00"/>
    <d v="2014-11-11T00:00:00"/>
    <x v="0"/>
    <x v="2"/>
    <s v="Second Class"/>
    <s v="JP-15520"/>
    <x v="187"/>
    <s v="Consumer"/>
    <s v="United States"/>
    <s v="San Francisco"/>
    <x v="1"/>
    <n v="94110"/>
    <s v="West"/>
    <s v="TEC-PH-10002680"/>
    <x v="2"/>
    <x v="7"/>
    <s v="Samsung Galaxy Note 3"/>
    <n v="703.96799999999996"/>
    <n v="4"/>
    <n v="0.2"/>
    <n v="87.995999999999995"/>
  </r>
  <r>
    <n v="475"/>
    <s v="CA-2014-144666"/>
    <d v="2014-11-09T00:00:00"/>
    <d v="2014-11-11T00:00:00"/>
    <x v="0"/>
    <x v="2"/>
    <s v="Second Class"/>
    <s v="JP-15520"/>
    <x v="187"/>
    <s v="Consumer"/>
    <s v="United States"/>
    <s v="San Francisco"/>
    <x v="1"/>
    <n v="94110"/>
    <s v="West"/>
    <s v="OFF-ST-10001321"/>
    <x v="1"/>
    <x v="4"/>
    <s v="Decoflex Hanging Personal Folder File, Blue"/>
    <n v="92.52"/>
    <n v="6"/>
    <n v="0"/>
    <n v="24.980399999999999"/>
  </r>
  <r>
    <n v="476"/>
    <s v="CA-2014-144666"/>
    <d v="2014-11-09T00:00:00"/>
    <d v="2014-11-11T00:00:00"/>
    <x v="0"/>
    <x v="2"/>
    <s v="Second Class"/>
    <s v="JP-15520"/>
    <x v="187"/>
    <s v="Consumer"/>
    <s v="United States"/>
    <s v="San Francisco"/>
    <x v="1"/>
    <n v="94110"/>
    <s v="West"/>
    <s v="OFF-PA-10001509"/>
    <x v="1"/>
    <x v="10"/>
    <s v="Recycled Desk Saver Line &quot;While You Were Out&quot; Book, 5 1/2&quot; X 4&quot;"/>
    <n v="62.65"/>
    <n v="7"/>
    <n v="0"/>
    <n v="28.818999999999999"/>
  </r>
  <r>
    <n v="477"/>
    <s v="CA-2014-144666"/>
    <d v="2014-11-09T00:00:00"/>
    <d v="2014-11-11T00:00:00"/>
    <x v="0"/>
    <x v="2"/>
    <s v="Second Class"/>
    <s v="JP-15520"/>
    <x v="187"/>
    <s v="Consumer"/>
    <s v="United States"/>
    <s v="San Francisco"/>
    <x v="1"/>
    <n v="94110"/>
    <s v="West"/>
    <s v="OFF-PA-10003465"/>
    <x v="1"/>
    <x v="10"/>
    <s v="Xerox 1912"/>
    <n v="94.85"/>
    <n v="5"/>
    <n v="0"/>
    <n v="45.527999999999999"/>
  </r>
  <r>
    <n v="478"/>
    <s v="CA-2016-103891"/>
    <d v="2016-07-12T00:00:00"/>
    <d v="2016-07-19T00:00:00"/>
    <x v="7"/>
    <x v="0"/>
    <s v="Standard Class"/>
    <s v="KH-16690"/>
    <x v="120"/>
    <s v="Corporate"/>
    <s v="United States"/>
    <s v="Los Angeles"/>
    <x v="1"/>
    <n v="90008"/>
    <s v="West"/>
    <s v="TEC-PH-10000149"/>
    <x v="2"/>
    <x v="7"/>
    <s v="Cisco SPA525G2 IP Phone - Wireless"/>
    <n v="95.76"/>
    <n v="6"/>
    <n v="0.2"/>
    <n v="7.1820000000000004"/>
  </r>
  <r>
    <n v="479"/>
    <s v="CA-2016-152632"/>
    <d v="2016-10-27T00:00:00"/>
    <d v="2016-11-02T00:00:00"/>
    <x v="2"/>
    <x v="0"/>
    <s v="Standard Class"/>
    <s v="JE-15475"/>
    <x v="188"/>
    <s v="Consumer"/>
    <s v="United States"/>
    <s v="Troy"/>
    <x v="15"/>
    <n v="12180"/>
    <s v="East"/>
    <s v="FUR-FU-10002671"/>
    <x v="0"/>
    <x v="5"/>
    <s v="Electrix 20W Halogen Replacement Bulb for Zoom-In Desk Lamp"/>
    <n v="40.200000000000003"/>
    <n v="3"/>
    <n v="0"/>
    <n v="19.295999999999999"/>
  </r>
  <r>
    <n v="480"/>
    <s v="CA-2016-100790"/>
    <d v="2016-06-26T00:00:00"/>
    <d v="2016-07-02T00:00:00"/>
    <x v="1"/>
    <x v="0"/>
    <s v="Standard Class"/>
    <s v="JG-15805"/>
    <x v="189"/>
    <s v="Corporate"/>
    <s v="United States"/>
    <s v="New York City"/>
    <x v="15"/>
    <n v="10024"/>
    <s v="East"/>
    <s v="OFF-AR-10003045"/>
    <x v="1"/>
    <x v="6"/>
    <s v="Prang Colored Pencils"/>
    <n v="14.7"/>
    <n v="5"/>
    <n v="0"/>
    <n v="6.6150000000000002"/>
  </r>
  <r>
    <n v="481"/>
    <s v="CA-2016-100790"/>
    <d v="2016-06-26T00:00:00"/>
    <d v="2016-07-02T00:00:00"/>
    <x v="1"/>
    <x v="0"/>
    <s v="Standard Class"/>
    <s v="JG-15805"/>
    <x v="189"/>
    <s v="Corporate"/>
    <s v="United States"/>
    <s v="New York City"/>
    <x v="15"/>
    <n v="10024"/>
    <s v="East"/>
    <s v="OFF-ST-10000689"/>
    <x v="1"/>
    <x v="4"/>
    <s v="Fellowes Strictly Business Drawer File, Letter/Legal Size"/>
    <n v="704.25"/>
    <n v="5"/>
    <n v="0"/>
    <n v="84.51"/>
  </r>
  <r>
    <n v="482"/>
    <s v="CA-2014-134677"/>
    <d v="2014-10-06T00:00:00"/>
    <d v="2014-10-10T00:00:00"/>
    <x v="2"/>
    <x v="2"/>
    <s v="Standard Class"/>
    <s v="XP-21865"/>
    <x v="190"/>
    <s v="Consumer"/>
    <s v="United States"/>
    <s v="San Diego"/>
    <x v="1"/>
    <n v="92024"/>
    <s v="West"/>
    <s v="TEC-AC-10001445"/>
    <x v="2"/>
    <x v="11"/>
    <s v="Imation USB 2.0 Swivel Flash Drive USB flash drive - 4 GB - Pink"/>
    <n v="9.09"/>
    <n v="3"/>
    <n v="0"/>
    <n v="1.9089"/>
  </r>
  <r>
    <n v="483"/>
    <s v="CA-2014-127691"/>
    <d v="2014-07-22T00:00:00"/>
    <d v="2014-07-27T00:00:00"/>
    <x v="7"/>
    <x v="2"/>
    <s v="Standard Class"/>
    <s v="EM-14065"/>
    <x v="191"/>
    <s v="Consumer"/>
    <s v="United States"/>
    <s v="New York City"/>
    <x v="15"/>
    <n v="10024"/>
    <s v="East"/>
    <s v="OFF-AR-10002053"/>
    <x v="1"/>
    <x v="6"/>
    <s v="Premium Writing Pencils, Soft, #2 by Central Association for the Blind"/>
    <n v="5.96"/>
    <n v="2"/>
    <n v="0"/>
    <n v="1.6688000000000001"/>
  </r>
  <r>
    <n v="484"/>
    <s v="CA-2014-127691"/>
    <d v="2014-07-22T00:00:00"/>
    <d v="2014-07-27T00:00:00"/>
    <x v="7"/>
    <x v="2"/>
    <s v="Standard Class"/>
    <s v="EM-14065"/>
    <x v="191"/>
    <s v="Consumer"/>
    <s v="United States"/>
    <s v="New York City"/>
    <x v="15"/>
    <n v="10024"/>
    <s v="East"/>
    <s v="TEC-AC-10002567"/>
    <x v="2"/>
    <x v="11"/>
    <s v="Logitech G602 Wireless Gaming Mouse"/>
    <n v="159.97999999999999"/>
    <n v="2"/>
    <n v="0"/>
    <n v="57.592799999999997"/>
  </r>
  <r>
    <n v="485"/>
    <s v="CA-2017-140963"/>
    <d v="2017-06-10T00:00:00"/>
    <d v="2017-06-13T00:00:00"/>
    <x v="1"/>
    <x v="3"/>
    <s v="First Class"/>
    <s v="MT-18070"/>
    <x v="192"/>
    <s v="Home Office"/>
    <s v="United States"/>
    <s v="Los Angeles"/>
    <x v="1"/>
    <n v="90045"/>
    <s v="West"/>
    <s v="OFF-LA-10003923"/>
    <x v="1"/>
    <x v="2"/>
    <s v="Alphabetical Labels for Top Tab Filing"/>
    <n v="29.6"/>
    <n v="2"/>
    <n v="0"/>
    <n v="14.8"/>
  </r>
  <r>
    <n v="486"/>
    <s v="CA-2017-140963"/>
    <d v="2017-06-10T00:00:00"/>
    <d v="2017-06-13T00:00:00"/>
    <x v="1"/>
    <x v="3"/>
    <s v="First Class"/>
    <s v="MT-18070"/>
    <x v="192"/>
    <s v="Home Office"/>
    <s v="United States"/>
    <s v="Los Angeles"/>
    <x v="1"/>
    <n v="90045"/>
    <s v="West"/>
    <s v="FUR-BO-10001337"/>
    <x v="0"/>
    <x v="0"/>
    <s v="O'Sullivan Living Dimensions 2-Shelf Bookcases"/>
    <n v="514.16499999999996"/>
    <n v="5"/>
    <n v="0.15"/>
    <n v="-30.245000000000001"/>
  </r>
  <r>
    <n v="487"/>
    <s v="CA-2017-140963"/>
    <d v="2017-06-10T00:00:00"/>
    <d v="2017-06-13T00:00:00"/>
    <x v="1"/>
    <x v="3"/>
    <s v="First Class"/>
    <s v="MT-18070"/>
    <x v="192"/>
    <s v="Home Office"/>
    <s v="United States"/>
    <s v="Los Angeles"/>
    <x v="1"/>
    <n v="90045"/>
    <s v="West"/>
    <s v="TEC-PH-10001924"/>
    <x v="2"/>
    <x v="7"/>
    <s v="iHome FM Clock Radio with Lightning Dock"/>
    <n v="279.95999999999998"/>
    <n v="5"/>
    <n v="0.2"/>
    <n v="17.497499999999999"/>
  </r>
  <r>
    <n v="488"/>
    <s v="CA-2014-154627"/>
    <d v="2014-10-29T00:00:00"/>
    <d v="2014-10-31T00:00:00"/>
    <x v="2"/>
    <x v="2"/>
    <s v="First Class"/>
    <s v="SA-20830"/>
    <x v="193"/>
    <s v="Consumer"/>
    <s v="United States"/>
    <s v="Chicago"/>
    <x v="10"/>
    <n v="60610"/>
    <s v="Central"/>
    <s v="TEC-PH-10001363"/>
    <x v="2"/>
    <x v="7"/>
    <s v="Apple iPhone 5S"/>
    <n v="2735.9520000000002"/>
    <n v="6"/>
    <n v="0.2"/>
    <n v="341.99400000000003"/>
  </r>
  <r>
    <n v="489"/>
    <s v="CA-2014-133753"/>
    <d v="2014-06-09T00:00:00"/>
    <d v="2014-06-13T00:00:00"/>
    <x v="1"/>
    <x v="2"/>
    <s v="Second Class"/>
    <s v="CW-11905"/>
    <x v="194"/>
    <s v="Home Office"/>
    <s v="United States"/>
    <s v="Huntsville"/>
    <x v="5"/>
    <n v="77340"/>
    <s v="Central"/>
    <s v="TEC-PH-10000376"/>
    <x v="2"/>
    <x v="7"/>
    <s v="Square Credit Card Reader"/>
    <n v="7.992"/>
    <n v="1"/>
    <n v="0.2"/>
    <n v="0.59940000000000004"/>
  </r>
  <r>
    <n v="490"/>
    <s v="CA-2014-133753"/>
    <d v="2014-06-09T00:00:00"/>
    <d v="2014-06-13T00:00:00"/>
    <x v="1"/>
    <x v="2"/>
    <s v="Second Class"/>
    <s v="CW-11905"/>
    <x v="194"/>
    <s v="Home Office"/>
    <s v="United States"/>
    <s v="Huntsville"/>
    <x v="5"/>
    <n v="77340"/>
    <s v="Central"/>
    <s v="TEC-AC-10000303"/>
    <x v="2"/>
    <x v="11"/>
    <s v="Logitech M510 Wireless Mouse"/>
    <n v="63.984000000000002"/>
    <n v="2"/>
    <n v="0.2"/>
    <n v="10.397399999999999"/>
  </r>
  <r>
    <n v="491"/>
    <s v="CA-2014-133753"/>
    <d v="2014-06-09T00:00:00"/>
    <d v="2014-06-13T00:00:00"/>
    <x v="1"/>
    <x v="2"/>
    <s v="Second Class"/>
    <s v="CW-11905"/>
    <x v="194"/>
    <s v="Home Office"/>
    <s v="United States"/>
    <s v="Huntsville"/>
    <x v="5"/>
    <n v="77340"/>
    <s v="Central"/>
    <s v="OFF-AR-10001953"/>
    <x v="1"/>
    <x v="6"/>
    <s v="Boston 1645 Deluxe Heavier-Duty Electric Pencil Sharpener"/>
    <n v="70.367999999999995"/>
    <n v="2"/>
    <n v="0.2"/>
    <n v="6.1571999999999996"/>
  </r>
  <r>
    <n v="492"/>
    <s v="CA-2014-113362"/>
    <d v="2014-09-14T00:00:00"/>
    <d v="2014-09-19T00:00:00"/>
    <x v="8"/>
    <x v="2"/>
    <s v="Standard Class"/>
    <s v="AJ-10960"/>
    <x v="195"/>
    <s v="Consumer"/>
    <s v="United States"/>
    <s v="Rochester"/>
    <x v="15"/>
    <n v="14609"/>
    <s v="East"/>
    <s v="OFF-ST-10001809"/>
    <x v="1"/>
    <x v="4"/>
    <s v="Fellowes Officeware Wire Shelving"/>
    <n v="449.15"/>
    <n v="5"/>
    <n v="0"/>
    <n v="8.9830000000000005"/>
  </r>
  <r>
    <n v="493"/>
    <s v="CA-2014-113362"/>
    <d v="2014-09-14T00:00:00"/>
    <d v="2014-09-19T00:00:00"/>
    <x v="8"/>
    <x v="2"/>
    <s v="Standard Class"/>
    <s v="AJ-10960"/>
    <x v="195"/>
    <s v="Consumer"/>
    <s v="United States"/>
    <s v="Rochester"/>
    <x v="15"/>
    <n v="14609"/>
    <s v="East"/>
    <s v="OFF-EN-10003845"/>
    <x v="1"/>
    <x v="12"/>
    <s v="Colored Envelopes"/>
    <n v="11.07"/>
    <n v="3"/>
    <n v="0"/>
    <n v="5.0922000000000001"/>
  </r>
  <r>
    <n v="494"/>
    <s v="CA-2016-169166"/>
    <d v="2016-05-09T00:00:00"/>
    <d v="2016-05-14T00:00:00"/>
    <x v="5"/>
    <x v="0"/>
    <s v="Standard Class"/>
    <s v="SS-20590"/>
    <x v="196"/>
    <s v="Consumer"/>
    <s v="United States"/>
    <s v="Seattle"/>
    <x v="4"/>
    <n v="98115"/>
    <s v="West"/>
    <s v="TEC-AC-10000991"/>
    <x v="2"/>
    <x v="11"/>
    <s v="Sony Micro Vault Click 8 GB USB 2.0 Flash Drive"/>
    <n v="93.98"/>
    <n v="2"/>
    <n v="0"/>
    <n v="13.1572"/>
  </r>
  <r>
    <n v="495"/>
    <s v="US-2016-120929"/>
    <d v="2016-03-18T00:00:00"/>
    <d v="2016-03-21T00:00:00"/>
    <x v="10"/>
    <x v="0"/>
    <s v="Second Class"/>
    <s v="RO-19780"/>
    <x v="197"/>
    <s v="Consumer"/>
    <s v="United States"/>
    <s v="Memphis"/>
    <x v="18"/>
    <n v="38109"/>
    <s v="South"/>
    <s v="FUR-TA-10001857"/>
    <x v="0"/>
    <x v="3"/>
    <s v="Balt Solid Wood Rectangular Table"/>
    <n v="189.88200000000001"/>
    <n v="3"/>
    <n v="0.4"/>
    <n v="-94.941000000000003"/>
  </r>
  <r>
    <n v="496"/>
    <s v="CA-2015-134782"/>
    <d v="2015-12-27T00:00:00"/>
    <d v="2015-12-31T00:00:00"/>
    <x v="4"/>
    <x v="1"/>
    <s v="Standard Class"/>
    <s v="MD-17350"/>
    <x v="198"/>
    <s v="Consumer"/>
    <s v="United States"/>
    <s v="Fayetteville"/>
    <x v="36"/>
    <n v="72701"/>
    <s v="South"/>
    <s v="OFF-EN-10001434"/>
    <x v="1"/>
    <x v="12"/>
    <s v="Strathmore #10 Envelopes, Ultimate White"/>
    <n v="105.42"/>
    <n v="2"/>
    <n v="0"/>
    <n v="51.655799999999999"/>
  </r>
  <r>
    <n v="497"/>
    <s v="CA-2016-126158"/>
    <d v="2016-07-25T00:00:00"/>
    <d v="2016-07-31T00:00:00"/>
    <x v="7"/>
    <x v="0"/>
    <s v="Standard Class"/>
    <s v="SC-20095"/>
    <x v="183"/>
    <s v="Consumer"/>
    <s v="United States"/>
    <s v="Costa Mesa"/>
    <x v="1"/>
    <n v="92627"/>
    <s v="West"/>
    <s v="OFF-BI-10002498"/>
    <x v="1"/>
    <x v="8"/>
    <s v="Clear Mylar Reinforcing Strips"/>
    <n v="119.616"/>
    <n v="8"/>
    <n v="0.2"/>
    <n v="40.370399999999997"/>
  </r>
  <r>
    <n v="498"/>
    <s v="CA-2016-126158"/>
    <d v="2016-07-25T00:00:00"/>
    <d v="2016-07-31T00:00:00"/>
    <x v="7"/>
    <x v="0"/>
    <s v="Standard Class"/>
    <s v="SC-20095"/>
    <x v="183"/>
    <s v="Consumer"/>
    <s v="United States"/>
    <s v="Costa Mesa"/>
    <x v="1"/>
    <n v="92627"/>
    <s v="West"/>
    <s v="FUR-FU-10004864"/>
    <x v="0"/>
    <x v="5"/>
    <s v="Howard Miller 14-1/2&quot; Diameter Chrome Round Wall Clock"/>
    <n v="255.76"/>
    <n v="4"/>
    <n v="0"/>
    <n v="81.843199999999996"/>
  </r>
  <r>
    <n v="499"/>
    <s v="CA-2016-126158"/>
    <d v="2016-07-25T00:00:00"/>
    <d v="2016-07-31T00:00:00"/>
    <x v="7"/>
    <x v="0"/>
    <s v="Standard Class"/>
    <s v="SC-20095"/>
    <x v="183"/>
    <s v="Consumer"/>
    <s v="United States"/>
    <s v="Costa Mesa"/>
    <x v="1"/>
    <n v="92627"/>
    <s v="West"/>
    <s v="FUR-CH-10002602"/>
    <x v="0"/>
    <x v="1"/>
    <s v="DMI Arturo Collection Mission-style Design Wood Chair"/>
    <n v="241.56800000000001"/>
    <n v="2"/>
    <n v="0.2"/>
    <n v="18.117599999999999"/>
  </r>
  <r>
    <n v="500"/>
    <s v="CA-2016-126158"/>
    <d v="2016-07-25T00:00:00"/>
    <d v="2016-07-31T00:00:00"/>
    <x v="7"/>
    <x v="0"/>
    <s v="Standard Class"/>
    <s v="SC-20095"/>
    <x v="183"/>
    <s v="Consumer"/>
    <s v="United States"/>
    <s v="Costa Mesa"/>
    <x v="1"/>
    <n v="92627"/>
    <s v="West"/>
    <s v="FUR-FU-10000073"/>
    <x v="0"/>
    <x v="5"/>
    <s v="Deflect-O Glasstique Clear Desk Accessories"/>
    <n v="69.3"/>
    <n v="9"/>
    <n v="0"/>
    <n v="22.86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FEA60EA-35CF-4B1B-8B37-06152A666842}"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W5:X43" firstHeaderRow="1" firstDataRow="1" firstDataCol="1"/>
  <pivotFields count="23">
    <pivotField showAll="0"/>
    <pivotField showAll="0"/>
    <pivotField numFmtId="14" showAll="0"/>
    <pivotField numFmtId="14" showAll="0"/>
    <pivotField showAll="0">
      <items count="13">
        <item x="9"/>
        <item x="11"/>
        <item x="10"/>
        <item x="3"/>
        <item x="5"/>
        <item x="1"/>
        <item x="7"/>
        <item x="6"/>
        <item x="8"/>
        <item x="2"/>
        <item x="0"/>
        <item x="4"/>
        <item t="default"/>
      </items>
    </pivotField>
    <pivotField numFmtId="1" showAll="0">
      <items count="5">
        <item x="2"/>
        <item x="1"/>
        <item x="0"/>
        <item x="3"/>
        <item t="default"/>
      </items>
    </pivotField>
    <pivotField showAll="0"/>
    <pivotField showAll="0"/>
    <pivotField showAll="0"/>
    <pivotField showAll="0"/>
    <pivotField showAll="0"/>
    <pivotField showAll="0"/>
    <pivotField axis="axisRow" showAll="0">
      <items count="38">
        <item x="19"/>
        <item x="16"/>
        <item x="36"/>
        <item x="1"/>
        <item x="22"/>
        <item x="29"/>
        <item x="13"/>
        <item x="2"/>
        <item x="32"/>
        <item x="10"/>
        <item x="14"/>
        <item x="23"/>
        <item x="0"/>
        <item x="28"/>
        <item x="31"/>
        <item x="12"/>
        <item x="11"/>
        <item x="35"/>
        <item x="25"/>
        <item x="8"/>
        <item x="33"/>
        <item x="30"/>
        <item x="27"/>
        <item x="15"/>
        <item x="3"/>
        <item x="24"/>
        <item x="26"/>
        <item x="21"/>
        <item x="9"/>
        <item x="34"/>
        <item x="20"/>
        <item x="18"/>
        <item x="5"/>
        <item x="7"/>
        <item x="17"/>
        <item x="4"/>
        <item x="6"/>
        <item t="default"/>
      </items>
    </pivotField>
    <pivotField showAll="0"/>
    <pivotField showAll="0"/>
    <pivotField showAll="0"/>
    <pivotField showAll="0">
      <items count="4">
        <item x="0"/>
        <item x="1"/>
        <item x="2"/>
        <item t="default"/>
      </items>
    </pivotField>
    <pivotField showAll="0"/>
    <pivotField showAll="0"/>
    <pivotField dataField="1" showAll="0"/>
    <pivotField showAll="0"/>
    <pivotField showAll="0"/>
    <pivotField showAll="0"/>
  </pivotFields>
  <rowFields count="1">
    <field x="12"/>
  </rowFields>
  <rowItems count="3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t="grand">
      <x/>
    </i>
  </rowItems>
  <colItems count="1">
    <i/>
  </colItems>
  <dataFields count="1">
    <dataField name="Sum of Sales" fld="19" baseField="0" baseItem="0" numFmtId="164"/>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9103856-37C3-4B6D-BEBB-3AC82AD5C255}"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A3" firstHeaderRow="1" firstDataRow="1" firstDataCol="0"/>
  <pivotFields count="23">
    <pivotField showAll="0"/>
    <pivotField showAll="0"/>
    <pivotField numFmtId="14" showAll="0"/>
    <pivotField numFmtId="14" showAll="0"/>
    <pivotField showAll="0">
      <items count="13">
        <item x="9"/>
        <item x="11"/>
        <item x="10"/>
        <item x="3"/>
        <item x="5"/>
        <item x="1"/>
        <item x="7"/>
        <item x="6"/>
        <item x="8"/>
        <item x="2"/>
        <item x="0"/>
        <item x="4"/>
        <item t="default"/>
      </items>
    </pivotField>
    <pivotField numFmtId="1" showAll="0">
      <items count="5">
        <item x="2"/>
        <item x="1"/>
        <item x="0"/>
        <item x="3"/>
        <item t="default"/>
      </items>
    </pivotField>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dataField="1" showAll="0"/>
    <pivotField showAll="0"/>
    <pivotField showAll="0"/>
    <pivotField showAll="0"/>
  </pivotFields>
  <rowItems count="1">
    <i/>
  </rowItems>
  <colItems count="1">
    <i/>
  </colItems>
  <dataFields count="1">
    <dataField name="Sum of Sales" fld="19" baseField="0" baseItem="0" numFmtId="164"/>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7F3FCCE-0590-4AA4-B584-67DC1441F20E}"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T4:U9" firstHeaderRow="1" firstDataRow="1" firstDataCol="1"/>
  <pivotFields count="2">
    <pivotField dataField="1" showAll="0"/>
    <pivotField axis="axisRow" numFmtId="1" showAll="0">
      <items count="5">
        <item x="2"/>
        <item x="1"/>
        <item x="0"/>
        <item x="3"/>
        <item t="default"/>
      </items>
    </pivotField>
  </pivotFields>
  <rowFields count="1">
    <field x="1"/>
  </rowFields>
  <rowItems count="5">
    <i>
      <x/>
    </i>
    <i>
      <x v="1"/>
    </i>
    <i>
      <x v="2"/>
    </i>
    <i>
      <x v="3"/>
    </i>
    <i t="grand">
      <x/>
    </i>
  </rowItems>
  <colItems count="1">
    <i/>
  </colItems>
  <dataFields count="1">
    <dataField name="Count of Customer Name" fld="0" subtotal="count" baseField="0" baseItem="0"/>
  </dataField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 count="1" selected="0">
            <x v="0"/>
          </reference>
        </references>
      </pivotArea>
    </chartFormat>
    <chartFormat chart="2" format="8">
      <pivotArea type="data" outline="0" fieldPosition="0">
        <references count="2">
          <reference field="4294967294" count="1" selected="0">
            <x v="0"/>
          </reference>
          <reference field="1" count="1" selected="0">
            <x v="1"/>
          </reference>
        </references>
      </pivotArea>
    </chartFormat>
    <chartFormat chart="2" format="9">
      <pivotArea type="data" outline="0" fieldPosition="0">
        <references count="2">
          <reference field="4294967294" count="1" selected="0">
            <x v="0"/>
          </reference>
          <reference field="1" count="1" selected="0">
            <x v="2"/>
          </reference>
        </references>
      </pivotArea>
    </chartFormat>
    <chartFormat chart="2" format="10">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341BD27-7839-4CA7-9CCE-C0693744F499}"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4:L22" firstHeaderRow="1" firstDataRow="1" firstDataCol="1"/>
  <pivotFields count="23">
    <pivotField showAll="0"/>
    <pivotField showAll="0"/>
    <pivotField numFmtId="14" showAll="0"/>
    <pivotField numFmtId="14" showAll="0"/>
    <pivotField showAll="0">
      <items count="13">
        <item x="9"/>
        <item x="11"/>
        <item x="10"/>
        <item x="3"/>
        <item x="5"/>
        <item x="1"/>
        <item x="7"/>
        <item x="6"/>
        <item x="8"/>
        <item x="2"/>
        <item x="0"/>
        <item x="4"/>
        <item t="default"/>
      </items>
    </pivotField>
    <pivotField numFmtId="1" showAll="0">
      <items count="5">
        <item x="2"/>
        <item x="1"/>
        <item x="0"/>
        <item x="3"/>
        <item t="default"/>
      </items>
    </pivotField>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axis="axisRow" showAll="0"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s>
  <rowFields count="1">
    <field x="17"/>
  </rowFields>
  <rowItems count="18">
    <i>
      <x v="11"/>
    </i>
    <i>
      <x v="5"/>
    </i>
    <i>
      <x v="13"/>
    </i>
    <i>
      <x v="16"/>
    </i>
    <i>
      <x v="4"/>
    </i>
    <i>
      <x/>
    </i>
    <i>
      <x v="14"/>
    </i>
    <i>
      <x v="3"/>
    </i>
    <i>
      <x v="1"/>
    </i>
    <i>
      <x v="6"/>
    </i>
    <i>
      <x v="9"/>
    </i>
    <i>
      <x v="12"/>
    </i>
    <i>
      <x v="2"/>
    </i>
    <i>
      <x v="15"/>
    </i>
    <i>
      <x v="7"/>
    </i>
    <i>
      <x v="10"/>
    </i>
    <i>
      <x v="8"/>
    </i>
    <i t="grand">
      <x/>
    </i>
  </rowItems>
  <colItems count="1">
    <i/>
  </colItems>
  <dataFields count="1">
    <dataField name="Sum of Sales" fld="19" baseField="0" baseItem="0" numFmtId="164"/>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54CC9A5-DA2E-41B2-967B-3C43C8761705}"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C4:G10" firstHeaderRow="1" firstDataRow="2" firstDataCol="1"/>
  <pivotFields count="23">
    <pivotField showAll="0"/>
    <pivotField showAll="0"/>
    <pivotField numFmtId="14" showAll="0"/>
    <pivotField numFmtId="14" showAll="0"/>
    <pivotField showAll="0">
      <items count="13">
        <item x="9"/>
        <item x="11"/>
        <item x="10"/>
        <item x="3"/>
        <item x="5"/>
        <item x="1"/>
        <item x="7"/>
        <item x="6"/>
        <item x="8"/>
        <item x="2"/>
        <item x="0"/>
        <item x="4"/>
        <item t="default"/>
      </items>
    </pivotField>
    <pivotField axis="axisRow" numFmtId="1" showAll="0">
      <items count="5">
        <item x="2"/>
        <item x="1"/>
        <item x="0"/>
        <item x="3"/>
        <item t="default"/>
      </items>
    </pivotField>
    <pivotField showAll="0"/>
    <pivotField showAll="0"/>
    <pivotField showAll="0"/>
    <pivotField showAll="0"/>
    <pivotField showAll="0"/>
    <pivotField showAll="0"/>
    <pivotField showAll="0"/>
    <pivotField showAll="0"/>
    <pivotField showAll="0"/>
    <pivotField showAll="0"/>
    <pivotField axis="axisCol" showAll="0">
      <items count="4">
        <item x="0"/>
        <item x="1"/>
        <item x="2"/>
        <item t="default"/>
      </items>
    </pivotField>
    <pivotField showAll="0"/>
    <pivotField showAll="0"/>
    <pivotField showAll="0"/>
    <pivotField showAll="0"/>
    <pivotField showAll="0"/>
    <pivotField dataField="1" showAll="0"/>
  </pivotFields>
  <rowFields count="1">
    <field x="5"/>
  </rowFields>
  <rowItems count="5">
    <i>
      <x/>
    </i>
    <i>
      <x v="1"/>
    </i>
    <i>
      <x v="2"/>
    </i>
    <i>
      <x v="3"/>
    </i>
    <i t="grand">
      <x/>
    </i>
  </rowItems>
  <colFields count="1">
    <field x="16"/>
  </colFields>
  <colItems count="4">
    <i>
      <x/>
    </i>
    <i>
      <x v="1"/>
    </i>
    <i>
      <x v="2"/>
    </i>
    <i t="grand">
      <x/>
    </i>
  </colItems>
  <dataFields count="1">
    <dataField name="Sum of Profit" fld="22" baseField="0" baseItem="0" numFmtId="164"/>
  </dataFields>
  <formats count="1">
    <format dxfId="3">
      <pivotArea outline="0" collapsedLevelsAreSubtotals="1" fieldPosition="0"/>
    </format>
  </formats>
  <chartFormats count="4">
    <chartFormat chart="2" format="6" series="1">
      <pivotArea type="data" outline="0" fieldPosition="0">
        <references count="2">
          <reference field="4294967294" count="1" selected="0">
            <x v="0"/>
          </reference>
          <reference field="16" count="1" selected="0">
            <x v="0"/>
          </reference>
        </references>
      </pivotArea>
    </chartFormat>
    <chartFormat chart="2" format="7" series="1">
      <pivotArea type="data" outline="0" fieldPosition="0">
        <references count="2">
          <reference field="4294967294" count="1" selected="0">
            <x v="0"/>
          </reference>
          <reference field="16" count="1" selected="0">
            <x v="1"/>
          </reference>
        </references>
      </pivotArea>
    </chartFormat>
    <chartFormat chart="2" format="8" series="1">
      <pivotArea type="data" outline="0" fieldPosition="0">
        <references count="2">
          <reference field="4294967294" count="1" selected="0">
            <x v="0"/>
          </reference>
          <reference field="16" count="1" selected="0">
            <x v="2"/>
          </reference>
        </references>
      </pivotArea>
    </chartFormat>
    <chartFormat chart="2"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B99B9F8-1B39-4E7E-AC48-F6F43A16ECA8}"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
  <location ref="AF4:AG17" firstHeaderRow="1" firstDataRow="1" firstDataCol="1"/>
  <pivotFields count="23">
    <pivotField showAll="0"/>
    <pivotField showAll="0"/>
    <pivotField numFmtId="14" showAll="0"/>
    <pivotField numFmtId="14" showAll="0"/>
    <pivotField axis="axisRow" showAll="0">
      <items count="13">
        <item x="9"/>
        <item x="11"/>
        <item x="10"/>
        <item x="3"/>
        <item x="5"/>
        <item x="1"/>
        <item x="7"/>
        <item x="6"/>
        <item x="8"/>
        <item x="2"/>
        <item x="0"/>
        <item x="4"/>
        <item t="default"/>
      </items>
    </pivotField>
    <pivotField numFmtId="1" showAll="0">
      <items count="5">
        <item x="2"/>
        <item x="1"/>
        <item x="0"/>
        <item x="3"/>
        <item t="default"/>
      </items>
    </pivotField>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dataField="1" showAll="0"/>
    <pivotField showAll="0"/>
    <pivotField showAll="0"/>
    <pivotField showAll="0"/>
  </pivotFields>
  <rowFields count="1">
    <field x="4"/>
  </rowFields>
  <rowItems count="13">
    <i>
      <x/>
    </i>
    <i>
      <x v="1"/>
    </i>
    <i>
      <x v="2"/>
    </i>
    <i>
      <x v="3"/>
    </i>
    <i>
      <x v="4"/>
    </i>
    <i>
      <x v="5"/>
    </i>
    <i>
      <x v="6"/>
    </i>
    <i>
      <x v="7"/>
    </i>
    <i>
      <x v="8"/>
    </i>
    <i>
      <x v="9"/>
    </i>
    <i>
      <x v="10"/>
    </i>
    <i>
      <x v="11"/>
    </i>
    <i t="grand">
      <x/>
    </i>
  </rowItems>
  <colItems count="1">
    <i/>
  </colItems>
  <dataFields count="1">
    <dataField name="Sum of Sales" fld="19" baseField="0" baseItem="0" numFmtId="165"/>
  </dataFields>
  <formats count="3">
    <format dxfId="6">
      <pivotArea collapsedLevelsAreSubtotals="1" fieldPosition="0">
        <references count="1">
          <reference field="4" count="0"/>
        </references>
      </pivotArea>
    </format>
    <format dxfId="5">
      <pivotArea grandRow="1" outline="0" collapsedLevelsAreSubtotals="1" fieldPosition="0"/>
    </format>
    <format dxfId="4">
      <pivotArea outline="0" fieldPosition="0">
        <references count="1">
          <reference field="4294967294" count="1">
            <x v="0"/>
          </reference>
        </references>
      </pivotArea>
    </format>
  </formats>
  <chartFormats count="14">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4" count="1" selected="0">
            <x v="0"/>
          </reference>
        </references>
      </pivotArea>
    </chartFormat>
    <chartFormat chart="2" format="4">
      <pivotArea type="data" outline="0" fieldPosition="0">
        <references count="2">
          <reference field="4294967294" count="1" selected="0">
            <x v="0"/>
          </reference>
          <reference field="4" count="1" selected="0">
            <x v="1"/>
          </reference>
        </references>
      </pivotArea>
    </chartFormat>
    <chartFormat chart="2" format="5">
      <pivotArea type="data" outline="0" fieldPosition="0">
        <references count="2">
          <reference field="4294967294" count="1" selected="0">
            <x v="0"/>
          </reference>
          <reference field="4" count="1" selected="0">
            <x v="2"/>
          </reference>
        </references>
      </pivotArea>
    </chartFormat>
    <chartFormat chart="2" format="6">
      <pivotArea type="data" outline="0" fieldPosition="0">
        <references count="2">
          <reference field="4294967294" count="1" selected="0">
            <x v="0"/>
          </reference>
          <reference field="4" count="1" selected="0">
            <x v="3"/>
          </reference>
        </references>
      </pivotArea>
    </chartFormat>
    <chartFormat chart="2" format="7">
      <pivotArea type="data" outline="0" fieldPosition="0">
        <references count="2">
          <reference field="4294967294" count="1" selected="0">
            <x v="0"/>
          </reference>
          <reference field="4" count="1" selected="0">
            <x v="4"/>
          </reference>
        </references>
      </pivotArea>
    </chartFormat>
    <chartFormat chart="2" format="8">
      <pivotArea type="data" outline="0" fieldPosition="0">
        <references count="2">
          <reference field="4294967294" count="1" selected="0">
            <x v="0"/>
          </reference>
          <reference field="4" count="1" selected="0">
            <x v="5"/>
          </reference>
        </references>
      </pivotArea>
    </chartFormat>
    <chartFormat chart="2" format="9">
      <pivotArea type="data" outline="0" fieldPosition="0">
        <references count="2">
          <reference field="4294967294" count="1" selected="0">
            <x v="0"/>
          </reference>
          <reference field="4" count="1" selected="0">
            <x v="6"/>
          </reference>
        </references>
      </pivotArea>
    </chartFormat>
    <chartFormat chart="2" format="10">
      <pivotArea type="data" outline="0" fieldPosition="0">
        <references count="2">
          <reference field="4294967294" count="1" selected="0">
            <x v="0"/>
          </reference>
          <reference field="4" count="1" selected="0">
            <x v="7"/>
          </reference>
        </references>
      </pivotArea>
    </chartFormat>
    <chartFormat chart="2" format="11">
      <pivotArea type="data" outline="0" fieldPosition="0">
        <references count="2">
          <reference field="4294967294" count="1" selected="0">
            <x v="0"/>
          </reference>
          <reference field="4" count="1" selected="0">
            <x v="8"/>
          </reference>
        </references>
      </pivotArea>
    </chartFormat>
    <chartFormat chart="2" format="12">
      <pivotArea type="data" outline="0" fieldPosition="0">
        <references count="2">
          <reference field="4294967294" count="1" selected="0">
            <x v="0"/>
          </reference>
          <reference field="4" count="1" selected="0">
            <x v="9"/>
          </reference>
        </references>
      </pivotArea>
    </chartFormat>
    <chartFormat chart="2" format="13">
      <pivotArea type="data" outline="0" fieldPosition="0">
        <references count="2">
          <reference field="4294967294" count="1" selected="0">
            <x v="0"/>
          </reference>
          <reference field="4" count="1" selected="0">
            <x v="10"/>
          </reference>
        </references>
      </pivotArea>
    </chartFormat>
    <chartFormat chart="2" format="14">
      <pivotArea type="data" outline="0" fieldPosition="0">
        <references count="2">
          <reference field="4294967294" count="1" selected="0">
            <x v="0"/>
          </reference>
          <reference field="4" count="1" selected="0">
            <x v="11"/>
          </reference>
        </references>
      </pivotArea>
    </chartFormat>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E7C558D-9E81-4E1B-9403-DC13E7C27954}"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C4:AD10" firstHeaderRow="1" firstDataRow="1" firstDataCol="1"/>
  <pivotFields count="23">
    <pivotField showAll="0"/>
    <pivotField showAll="0"/>
    <pivotField numFmtId="14" showAll="0"/>
    <pivotField numFmtId="14" showAll="0"/>
    <pivotField showAll="0">
      <items count="13">
        <item x="9"/>
        <item x="11"/>
        <item x="10"/>
        <item x="3"/>
        <item x="5"/>
        <item x="1"/>
        <item x="7"/>
        <item x="6"/>
        <item x="8"/>
        <item x="2"/>
        <item x="0"/>
        <item x="4"/>
        <item t="default"/>
      </items>
    </pivotField>
    <pivotField numFmtId="1" showAll="0">
      <items count="5">
        <item x="2"/>
        <item x="1"/>
        <item x="0"/>
        <item x="3"/>
        <item t="default"/>
      </items>
    </pivotField>
    <pivotField showAll="0"/>
    <pivotField showAll="0"/>
    <pivotField axis="axisRow" showAll="0" measureFilter="1" sortType="ascending">
      <items count="200">
        <item x="144"/>
        <item x="57"/>
        <item x="124"/>
        <item x="117"/>
        <item x="127"/>
        <item x="8"/>
        <item x="155"/>
        <item x="87"/>
        <item x="153"/>
        <item x="141"/>
        <item x="4"/>
        <item x="122"/>
        <item x="132"/>
        <item x="165"/>
        <item x="151"/>
        <item x="195"/>
        <item x="121"/>
        <item x="162"/>
        <item x="78"/>
        <item x="130"/>
        <item x="179"/>
        <item x="29"/>
        <item x="3"/>
        <item x="94"/>
        <item x="194"/>
        <item x="170"/>
        <item x="90"/>
        <item x="79"/>
        <item x="119"/>
        <item x="37"/>
        <item x="0"/>
        <item x="118"/>
        <item x="142"/>
        <item x="52"/>
        <item x="128"/>
        <item x="113"/>
        <item x="51"/>
        <item x="112"/>
        <item x="24"/>
        <item x="1"/>
        <item x="72"/>
        <item x="54"/>
        <item x="106"/>
        <item x="83"/>
        <item x="103"/>
        <item x="158"/>
        <item x="111"/>
        <item x="157"/>
        <item x="108"/>
        <item x="137"/>
        <item x="61"/>
        <item x="114"/>
        <item x="140"/>
        <item x="35"/>
        <item x="182"/>
        <item x="45"/>
        <item x="12"/>
        <item x="13"/>
        <item x="75"/>
        <item x="105"/>
        <item x="191"/>
        <item x="20"/>
        <item x="135"/>
        <item x="86"/>
        <item x="92"/>
        <item x="39"/>
        <item x="47"/>
        <item x="16"/>
        <item x="136"/>
        <item x="55"/>
        <item x="150"/>
        <item x="6"/>
        <item x="96"/>
        <item x="66"/>
        <item x="31"/>
        <item x="5"/>
        <item x="161"/>
        <item x="49"/>
        <item x="25"/>
        <item x="123"/>
        <item x="80"/>
        <item x="188"/>
        <item x="145"/>
        <item x="187"/>
        <item x="82"/>
        <item x="40"/>
        <item x="32"/>
        <item x="189"/>
        <item x="139"/>
        <item x="63"/>
        <item x="101"/>
        <item x="102"/>
        <item x="185"/>
        <item x="98"/>
        <item x="148"/>
        <item x="36"/>
        <item x="68"/>
        <item x="30"/>
        <item x="41"/>
        <item x="44"/>
        <item x="147"/>
        <item x="168"/>
        <item x="110"/>
        <item x="126"/>
        <item x="10"/>
        <item x="33"/>
        <item x="175"/>
        <item x="107"/>
        <item x="169"/>
        <item x="120"/>
        <item x="27"/>
        <item x="156"/>
        <item x="97"/>
        <item x="48"/>
        <item x="62"/>
        <item x="23"/>
        <item x="18"/>
        <item x="60"/>
        <item x="95"/>
        <item x="109"/>
        <item x="166"/>
        <item x="93"/>
        <item x="198"/>
        <item x="88"/>
        <item x="89"/>
        <item x="15"/>
        <item x="67"/>
        <item x="77"/>
        <item x="186"/>
        <item x="149"/>
        <item x="172"/>
        <item x="99"/>
        <item x="192"/>
        <item x="177"/>
        <item x="160"/>
        <item x="152"/>
        <item x="173"/>
        <item x="159"/>
        <item x="134"/>
        <item x="71"/>
        <item x="125"/>
        <item x="73"/>
        <item x="21"/>
        <item x="43"/>
        <item x="138"/>
        <item x="22"/>
        <item x="38"/>
        <item x="28"/>
        <item x="50"/>
        <item x="7"/>
        <item x="171"/>
        <item x="58"/>
        <item x="178"/>
        <item x="181"/>
        <item x="46"/>
        <item x="84"/>
        <item x="42"/>
        <item x="197"/>
        <item x="176"/>
        <item x="116"/>
        <item x="167"/>
        <item x="19"/>
        <item x="76"/>
        <item x="154"/>
        <item x="53"/>
        <item x="64"/>
        <item x="85"/>
        <item x="11"/>
        <item x="65"/>
        <item x="183"/>
        <item x="164"/>
        <item x="115"/>
        <item x="2"/>
        <item x="129"/>
        <item x="174"/>
        <item x="81"/>
        <item x="196"/>
        <item x="70"/>
        <item x="17"/>
        <item x="56"/>
        <item x="34"/>
        <item x="193"/>
        <item x="133"/>
        <item x="143"/>
        <item x="69"/>
        <item x="184"/>
        <item x="26"/>
        <item x="74"/>
        <item x="131"/>
        <item x="14"/>
        <item x="180"/>
        <item x="59"/>
        <item x="104"/>
        <item x="91"/>
        <item x="163"/>
        <item x="146"/>
        <item x="100"/>
        <item x="190"/>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dataField="1" showAll="0"/>
  </pivotFields>
  <rowFields count="1">
    <field x="8"/>
  </rowFields>
  <rowItems count="6">
    <i>
      <x v="76"/>
    </i>
    <i>
      <x v="96"/>
    </i>
    <i>
      <x v="48"/>
    </i>
    <i>
      <x/>
    </i>
    <i>
      <x v="138"/>
    </i>
    <i t="grand">
      <x/>
    </i>
  </rowItems>
  <colItems count="1">
    <i/>
  </colItems>
  <dataFields count="1">
    <dataField name="Sum of Profit" fld="22" baseField="0" baseItem="0" numFmtId="164"/>
  </dataFields>
  <formats count="1">
    <format dxfId="7">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4120B5A-CBAA-4C7F-B795-1B59FDE90C64}"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A7" firstHeaderRow="1" firstDataRow="1" firstDataCol="0"/>
  <pivotFields count="23">
    <pivotField showAll="0"/>
    <pivotField showAll="0"/>
    <pivotField numFmtId="14" showAll="0"/>
    <pivotField numFmtId="14" showAll="0"/>
    <pivotField showAll="0">
      <items count="13">
        <item x="9"/>
        <item x="11"/>
        <item x="10"/>
        <item x="3"/>
        <item x="5"/>
        <item x="1"/>
        <item x="7"/>
        <item x="6"/>
        <item x="8"/>
        <item x="2"/>
        <item x="0"/>
        <item x="4"/>
        <item t="default"/>
      </items>
    </pivotField>
    <pivotField numFmtId="1" showAll="0">
      <items count="5">
        <item x="2"/>
        <item x="1"/>
        <item x="0"/>
        <item x="3"/>
        <item t="default"/>
      </items>
    </pivotField>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dataField="1" showAll="0"/>
  </pivotFields>
  <rowItems count="1">
    <i/>
  </rowItems>
  <colItems count="1">
    <i/>
  </colItems>
  <dataFields count="1">
    <dataField name="Sum of Profit" fld="22" baseField="0" baseItem="0" numFmtId="164"/>
  </dataFields>
  <formats count="1">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1562C164-C294-4E48-8DD6-52D20A384183}" sourceName="Month">
  <pivotTables>
    <pivotTable tabId="4" name="PivotTable11"/>
    <pivotTable tabId="4" name="PivotTable10"/>
    <pivotTable tabId="4" name="PivotTable3"/>
    <pivotTable tabId="4" name="PivotTable4"/>
    <pivotTable tabId="4" name="PivotTable5"/>
    <pivotTable tabId="4" name="PivotTable6"/>
    <pivotTable tabId="4" name="PivotTable9"/>
  </pivotTables>
  <data>
    <tabular pivotCacheId="1957200232">
      <items count="12">
        <i x="9" s="1"/>
        <i x="11" s="1"/>
        <i x="10" s="1"/>
        <i x="3" s="1"/>
        <i x="5" s="1"/>
        <i x="1" s="1"/>
        <i x="7" s="1"/>
        <i x="6" s="1"/>
        <i x="8" s="1"/>
        <i x="2" s="1"/>
        <i x="0"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4DCFD0D9-1C90-4CFD-95DA-3B5933365830}" sourceName="Year ">
  <pivotTables>
    <pivotTable tabId="4" name="PivotTable11"/>
    <pivotTable tabId="4" name="PivotTable10"/>
    <pivotTable tabId="4" name="PivotTable3"/>
    <pivotTable tabId="4" name="PivotTable4"/>
    <pivotTable tabId="4" name="PivotTable5"/>
    <pivotTable tabId="4" name="PivotTable6"/>
    <pivotTable tabId="4" name="PivotTable9"/>
  </pivotTables>
  <data>
    <tabular pivotCacheId="1957200232">
      <items count="4">
        <i x="2" s="1"/>
        <i x="1"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FA9FAB8-4482-4240-8C8F-93512E26476F}" sourceName="Category">
  <pivotTables>
    <pivotTable tabId="4" name="PivotTable11"/>
    <pivotTable tabId="4" name="PivotTable10"/>
    <pivotTable tabId="4" name="PivotTable3"/>
    <pivotTable tabId="4" name="PivotTable4"/>
    <pivotTable tabId="4" name="PivotTable5"/>
    <pivotTable tabId="4" name="PivotTable6"/>
    <pivotTable tabId="4" name="PivotTable9"/>
  </pivotTables>
  <data>
    <tabular pivotCacheId="1957200232">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0DEFC545-A149-4537-9112-6B0B27417A71}" cache="Slicer_Month" caption="Month" style="Slicer Style 4" rowHeight="241300"/>
  <slicer name="Year  1" xr10:uid="{7E11AF86-960D-4F49-8A72-C95EC6350079}" cache="Slicer_Year" caption="Year " style="Slicer Style 4" rowHeight="241300"/>
  <slicer name="Category 1" xr10:uid="{E008068D-ACE2-4CD3-A45B-D055F29AEADE}" cache="Slicer_Category" caption="Category" style="Slicer Style 4"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92E07AF-82C8-490D-9838-8B67EE94B043}" name="Table1" displayName="Table1" ref="A1:W501" totalsRowShown="0">
  <autoFilter ref="A1:W501" xr:uid="{021EE2BE-82EF-4A61-BF8E-8302F385D20F}"/>
  <tableColumns count="23">
    <tableColumn id="1" xr3:uid="{6E4534D5-4A61-4DC9-B552-9D3853D7C027}" name="Row ID" dataDxfId="13"/>
    <tableColumn id="2" xr3:uid="{EC48657E-A2B5-4E48-953E-2380A09D26B8}" name="Order ID"/>
    <tableColumn id="3" xr3:uid="{A02AE0A6-8951-4FD8-8550-5A71ABF17DB1}" name="Order Date" dataDxfId="12"/>
    <tableColumn id="4" xr3:uid="{25F4FC75-1B06-429A-B265-E2B2DBF25732}" name="Ship Date" dataDxfId="11"/>
    <tableColumn id="25" xr3:uid="{68E204D8-5E55-4603-B085-E518251E0285}" name="Month" dataDxfId="10">
      <calculatedColumnFormula>TEXT(C2,"mmm")</calculatedColumnFormula>
    </tableColumn>
    <tableColumn id="23" xr3:uid="{655166D5-3F41-47E2-867D-6D4AC3F1FCE4}" name="Year " dataDxfId="9">
      <calculatedColumnFormula>YEAR(Table1[[#This Row],[Order Date]])</calculatedColumnFormula>
    </tableColumn>
    <tableColumn id="5" xr3:uid="{27C74B1F-58FA-4913-A59E-37E7EAEB1735}" name="Ship Mode"/>
    <tableColumn id="6" xr3:uid="{4DBEC335-800C-41A5-90F7-3566BCE72C6B}" name="Customer ID"/>
    <tableColumn id="7" xr3:uid="{BE7813FD-9147-4E10-940E-50DCBBC53B7E}" name="Customer Name"/>
    <tableColumn id="8" xr3:uid="{5E347377-1C48-491D-A2E6-1BA4F543CAA0}" name="Segment"/>
    <tableColumn id="9" xr3:uid="{E34B08E2-1E01-40E7-8E13-174D3D2B7759}" name="Country"/>
    <tableColumn id="10" xr3:uid="{9FD39126-6F41-471E-9F17-EBE5EEFC1BFC}" name="City"/>
    <tableColumn id="11" xr3:uid="{66CF6BD6-AEC2-4004-9009-A5ECF239152F}" name="State"/>
    <tableColumn id="12" xr3:uid="{26866FC6-057E-4AB0-A312-4761129486BA}" name="Postal Code"/>
    <tableColumn id="13" xr3:uid="{3BE80B5C-E8F0-4EFC-A18C-1D6F60CA5740}" name="Region"/>
    <tableColumn id="14" xr3:uid="{F5289E11-A32B-447D-A6F0-36B8F3856060}" name="Product ID"/>
    <tableColumn id="15" xr3:uid="{F1AFB825-DD51-4DA0-A897-87AD4B654EB9}" name="Category"/>
    <tableColumn id="16" xr3:uid="{86E8A804-A08D-45F6-A70D-9E466640EEE3}" name="Sub-Category"/>
    <tableColumn id="17" xr3:uid="{F5701075-B4D9-4807-9265-BAA919A8DDF9}" name="Product Name"/>
    <tableColumn id="18" xr3:uid="{143AAE8C-7871-4FAC-A8E8-C30B3088BE9A}" name="Sales"/>
    <tableColumn id="19" xr3:uid="{FAB77A33-5A33-4A31-A944-1BA205D5BB33}" name="Quantity"/>
    <tableColumn id="20" xr3:uid="{17B9F3C3-2279-418F-954D-BAD0CABA883F}" name="Discount"/>
    <tableColumn id="21" xr3:uid="{CBB01B36-7F91-4226-B011-7BC796024871}" name="Profit"/>
  </tableColumns>
  <tableStyleInfo name="TableStyleLight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1EE2BE-82EF-4A61-BF8E-8302F385D20F}">
  <sheetPr codeName="Sheet1"/>
  <dimension ref="A1:W501"/>
  <sheetViews>
    <sheetView zoomScaleNormal="100" workbookViewId="0">
      <pane ySplit="1" topLeftCell="A2" activePane="bottomLeft" state="frozen"/>
      <selection pane="bottomLeft" activeCell="E2" sqref="E2"/>
    </sheetView>
  </sheetViews>
  <sheetFormatPr defaultRowHeight="14.5" x14ac:dyDescent="0.35"/>
  <cols>
    <col min="2" max="2" width="10" customWidth="1"/>
    <col min="3" max="3" width="12.1796875" customWidth="1"/>
    <col min="4" max="5" width="10.81640625" customWidth="1"/>
    <col min="6" max="6" width="10.81640625" style="5" customWidth="1"/>
    <col min="7" max="7" width="11.7265625" customWidth="1"/>
    <col min="8" max="8" width="13.26953125" customWidth="1"/>
    <col min="9" max="9" width="16.36328125" customWidth="1"/>
    <col min="10" max="10" width="10.08984375" customWidth="1"/>
    <col min="11" max="11" width="9.54296875" customWidth="1"/>
    <col min="14" max="14" width="12.7265625" customWidth="1"/>
    <col min="16" max="16" width="11.7265625" customWidth="1"/>
    <col min="17" max="17" width="10.26953125" customWidth="1"/>
    <col min="18" max="18" width="14" customWidth="1"/>
    <col min="19" max="19" width="14.81640625" customWidth="1"/>
    <col min="21" max="22" width="10.1796875" customWidth="1"/>
  </cols>
  <sheetData>
    <row r="1" spans="1:23" x14ac:dyDescent="0.35">
      <c r="A1" s="1" t="s">
        <v>0</v>
      </c>
      <c r="B1" t="s">
        <v>1</v>
      </c>
      <c r="C1" t="s">
        <v>2</v>
      </c>
      <c r="D1" t="s">
        <v>3</v>
      </c>
      <c r="E1" t="s">
        <v>1735</v>
      </c>
      <c r="F1" s="5" t="s">
        <v>1724</v>
      </c>
      <c r="G1" t="s">
        <v>4</v>
      </c>
      <c r="H1" t="s">
        <v>5</v>
      </c>
      <c r="I1" t="s">
        <v>6</v>
      </c>
      <c r="J1" t="s">
        <v>7</v>
      </c>
      <c r="K1" t="s">
        <v>8</v>
      </c>
      <c r="L1" t="s">
        <v>9</v>
      </c>
      <c r="M1" t="s">
        <v>10</v>
      </c>
      <c r="N1" t="s">
        <v>11</v>
      </c>
      <c r="O1" t="s">
        <v>12</v>
      </c>
      <c r="P1" t="s">
        <v>13</v>
      </c>
      <c r="Q1" t="s">
        <v>14</v>
      </c>
      <c r="R1" t="s">
        <v>15</v>
      </c>
      <c r="S1" t="s">
        <v>16</v>
      </c>
      <c r="T1" t="s">
        <v>17</v>
      </c>
      <c r="U1" t="s">
        <v>18</v>
      </c>
      <c r="V1" t="s">
        <v>19</v>
      </c>
      <c r="W1" t="s">
        <v>20</v>
      </c>
    </row>
    <row r="2" spans="1:23" x14ac:dyDescent="0.35">
      <c r="A2" s="1">
        <v>1</v>
      </c>
      <c r="B2" t="s">
        <v>21</v>
      </c>
      <c r="C2" s="2">
        <v>42682</v>
      </c>
      <c r="D2" s="2">
        <v>42685</v>
      </c>
      <c r="E2" s="2" t="str">
        <f t="shared" ref="E2:E65" si="0">TEXT(C2,"mmm")</f>
        <v>Nov</v>
      </c>
      <c r="F2" s="5">
        <f>YEAR(Table1[[#This Row],[Order Date]])</f>
        <v>2016</v>
      </c>
      <c r="G2" t="s">
        <v>22</v>
      </c>
      <c r="H2" t="s">
        <v>23</v>
      </c>
      <c r="I2" t="s">
        <v>24</v>
      </c>
      <c r="J2" t="s">
        <v>25</v>
      </c>
      <c r="K2" t="s">
        <v>26</v>
      </c>
      <c r="L2" t="s">
        <v>27</v>
      </c>
      <c r="M2" t="s">
        <v>28</v>
      </c>
      <c r="N2">
        <v>42420</v>
      </c>
      <c r="O2" t="s">
        <v>29</v>
      </c>
      <c r="P2" t="s">
        <v>30</v>
      </c>
      <c r="Q2" t="s">
        <v>31</v>
      </c>
      <c r="R2" t="s">
        <v>32</v>
      </c>
      <c r="S2" t="s">
        <v>33</v>
      </c>
      <c r="T2">
        <v>261.95999999999998</v>
      </c>
      <c r="U2">
        <v>2</v>
      </c>
      <c r="V2">
        <v>0</v>
      </c>
      <c r="W2">
        <v>41.913600000000002</v>
      </c>
    </row>
    <row r="3" spans="1:23" x14ac:dyDescent="0.35">
      <c r="A3" s="1">
        <v>2</v>
      </c>
      <c r="B3" t="s">
        <v>21</v>
      </c>
      <c r="C3" s="2">
        <v>42682</v>
      </c>
      <c r="D3" s="2">
        <v>42685</v>
      </c>
      <c r="E3" s="2" t="str">
        <f t="shared" si="0"/>
        <v>Nov</v>
      </c>
      <c r="F3" s="5">
        <f>YEAR(Table1[[#This Row],[Order Date]])</f>
        <v>2016</v>
      </c>
      <c r="G3" t="s">
        <v>22</v>
      </c>
      <c r="H3" t="s">
        <v>23</v>
      </c>
      <c r="I3" t="s">
        <v>24</v>
      </c>
      <c r="J3" t="s">
        <v>25</v>
      </c>
      <c r="K3" t="s">
        <v>26</v>
      </c>
      <c r="L3" t="s">
        <v>27</v>
      </c>
      <c r="M3" t="s">
        <v>28</v>
      </c>
      <c r="N3">
        <v>42420</v>
      </c>
      <c r="O3" t="s">
        <v>29</v>
      </c>
      <c r="P3" t="s">
        <v>34</v>
      </c>
      <c r="Q3" t="s">
        <v>31</v>
      </c>
      <c r="R3" t="s">
        <v>35</v>
      </c>
      <c r="S3" t="s">
        <v>36</v>
      </c>
      <c r="T3">
        <v>731.94</v>
      </c>
      <c r="U3">
        <v>3</v>
      </c>
      <c r="V3">
        <v>0</v>
      </c>
      <c r="W3">
        <v>219.58199999999999</v>
      </c>
    </row>
    <row r="4" spans="1:23" x14ac:dyDescent="0.35">
      <c r="A4" s="1">
        <v>3</v>
      </c>
      <c r="B4" t="s">
        <v>37</v>
      </c>
      <c r="C4" s="2">
        <v>42533</v>
      </c>
      <c r="D4" s="2">
        <v>42537</v>
      </c>
      <c r="E4" s="2" t="str">
        <f t="shared" si="0"/>
        <v>Jun</v>
      </c>
      <c r="F4" s="5">
        <f>YEAR(Table1[[#This Row],[Order Date]])</f>
        <v>2016</v>
      </c>
      <c r="G4" t="s">
        <v>22</v>
      </c>
      <c r="H4" t="s">
        <v>38</v>
      </c>
      <c r="I4" t="s">
        <v>39</v>
      </c>
      <c r="J4" t="s">
        <v>40</v>
      </c>
      <c r="K4" t="s">
        <v>26</v>
      </c>
      <c r="L4" t="s">
        <v>41</v>
      </c>
      <c r="M4" t="s">
        <v>42</v>
      </c>
      <c r="N4">
        <v>90036</v>
      </c>
      <c r="O4" t="s">
        <v>43</v>
      </c>
      <c r="P4" t="s">
        <v>44</v>
      </c>
      <c r="Q4" t="s">
        <v>45</v>
      </c>
      <c r="R4" t="s">
        <v>46</v>
      </c>
      <c r="S4" t="s">
        <v>47</v>
      </c>
      <c r="T4">
        <v>14.62</v>
      </c>
      <c r="U4">
        <v>2</v>
      </c>
      <c r="V4">
        <v>0</v>
      </c>
      <c r="W4">
        <v>6.8714000000000004</v>
      </c>
    </row>
    <row r="5" spans="1:23" x14ac:dyDescent="0.35">
      <c r="A5" s="1">
        <v>4</v>
      </c>
      <c r="B5" t="s">
        <v>48</v>
      </c>
      <c r="C5" s="2">
        <v>42288</v>
      </c>
      <c r="D5" s="2">
        <v>42295</v>
      </c>
      <c r="E5" s="2" t="str">
        <f t="shared" si="0"/>
        <v>Oct</v>
      </c>
      <c r="F5" s="5">
        <f>YEAR(Table1[[#This Row],[Order Date]])</f>
        <v>2015</v>
      </c>
      <c r="G5" t="s">
        <v>49</v>
      </c>
      <c r="H5" t="s">
        <v>50</v>
      </c>
      <c r="I5" t="s">
        <v>51</v>
      </c>
      <c r="J5" t="s">
        <v>25</v>
      </c>
      <c r="K5" t="s">
        <v>26</v>
      </c>
      <c r="L5" t="s">
        <v>52</v>
      </c>
      <c r="M5" t="s">
        <v>53</v>
      </c>
      <c r="N5">
        <v>33311</v>
      </c>
      <c r="O5" t="s">
        <v>29</v>
      </c>
      <c r="P5" t="s">
        <v>54</v>
      </c>
      <c r="Q5" t="s">
        <v>31</v>
      </c>
      <c r="R5" t="s">
        <v>55</v>
      </c>
      <c r="S5" t="s">
        <v>56</v>
      </c>
      <c r="T5">
        <v>957.57749999999999</v>
      </c>
      <c r="U5">
        <v>5</v>
      </c>
      <c r="V5">
        <v>0.45</v>
      </c>
      <c r="W5">
        <v>-383.03100000000001</v>
      </c>
    </row>
    <row r="6" spans="1:23" x14ac:dyDescent="0.35">
      <c r="A6" s="1">
        <v>5</v>
      </c>
      <c r="B6" t="s">
        <v>48</v>
      </c>
      <c r="C6" s="2">
        <v>42288</v>
      </c>
      <c r="D6" s="2">
        <v>42295</v>
      </c>
      <c r="E6" s="2" t="str">
        <f t="shared" si="0"/>
        <v>Oct</v>
      </c>
      <c r="F6" s="5">
        <f>YEAR(Table1[[#This Row],[Order Date]])</f>
        <v>2015</v>
      </c>
      <c r="G6" t="s">
        <v>49</v>
      </c>
      <c r="H6" t="s">
        <v>50</v>
      </c>
      <c r="I6" t="s">
        <v>51</v>
      </c>
      <c r="J6" t="s">
        <v>25</v>
      </c>
      <c r="K6" t="s">
        <v>26</v>
      </c>
      <c r="L6" t="s">
        <v>52</v>
      </c>
      <c r="M6" t="s">
        <v>53</v>
      </c>
      <c r="N6">
        <v>33311</v>
      </c>
      <c r="O6" t="s">
        <v>29</v>
      </c>
      <c r="P6" t="s">
        <v>57</v>
      </c>
      <c r="Q6" t="s">
        <v>45</v>
      </c>
      <c r="R6" t="s">
        <v>58</v>
      </c>
      <c r="S6" t="s">
        <v>59</v>
      </c>
      <c r="T6">
        <v>22.367999999999999</v>
      </c>
      <c r="U6">
        <v>2</v>
      </c>
      <c r="V6">
        <v>0.2</v>
      </c>
      <c r="W6">
        <v>2.5164</v>
      </c>
    </row>
    <row r="7" spans="1:23" x14ac:dyDescent="0.35">
      <c r="A7" s="1">
        <v>6</v>
      </c>
      <c r="B7" t="s">
        <v>60</v>
      </c>
      <c r="C7" s="2">
        <v>41799</v>
      </c>
      <c r="D7" s="2">
        <v>41804</v>
      </c>
      <c r="E7" s="2" t="str">
        <f t="shared" si="0"/>
        <v>Jun</v>
      </c>
      <c r="F7" s="5">
        <f>YEAR(Table1[[#This Row],[Order Date]])</f>
        <v>2014</v>
      </c>
      <c r="G7" t="s">
        <v>49</v>
      </c>
      <c r="H7" t="s">
        <v>61</v>
      </c>
      <c r="I7" t="s">
        <v>62</v>
      </c>
      <c r="J7" t="s">
        <v>25</v>
      </c>
      <c r="K7" t="s">
        <v>26</v>
      </c>
      <c r="L7" t="s">
        <v>41</v>
      </c>
      <c r="M7" t="s">
        <v>42</v>
      </c>
      <c r="N7">
        <v>90032</v>
      </c>
      <c r="O7" t="s">
        <v>43</v>
      </c>
      <c r="P7" t="s">
        <v>63</v>
      </c>
      <c r="Q7" t="s">
        <v>31</v>
      </c>
      <c r="R7" t="s">
        <v>64</v>
      </c>
      <c r="S7" t="s">
        <v>65</v>
      </c>
      <c r="T7">
        <v>48.86</v>
      </c>
      <c r="U7">
        <v>7</v>
      </c>
      <c r="V7">
        <v>0</v>
      </c>
      <c r="W7">
        <v>14.1694</v>
      </c>
    </row>
    <row r="8" spans="1:23" x14ac:dyDescent="0.35">
      <c r="A8" s="1">
        <v>7</v>
      </c>
      <c r="B8" t="s">
        <v>60</v>
      </c>
      <c r="C8" s="2">
        <v>41799</v>
      </c>
      <c r="D8" s="2">
        <v>41804</v>
      </c>
      <c r="E8" s="2" t="str">
        <f t="shared" si="0"/>
        <v>Jun</v>
      </c>
      <c r="F8" s="5">
        <f>YEAR(Table1[[#This Row],[Order Date]])</f>
        <v>2014</v>
      </c>
      <c r="G8" t="s">
        <v>49</v>
      </c>
      <c r="H8" t="s">
        <v>61</v>
      </c>
      <c r="I8" t="s">
        <v>62</v>
      </c>
      <c r="J8" t="s">
        <v>25</v>
      </c>
      <c r="K8" t="s">
        <v>26</v>
      </c>
      <c r="L8" t="s">
        <v>41</v>
      </c>
      <c r="M8" t="s">
        <v>42</v>
      </c>
      <c r="N8">
        <v>90032</v>
      </c>
      <c r="O8" t="s">
        <v>43</v>
      </c>
      <c r="P8" t="s">
        <v>66</v>
      </c>
      <c r="Q8" t="s">
        <v>45</v>
      </c>
      <c r="R8" t="s">
        <v>67</v>
      </c>
      <c r="S8" t="s">
        <v>68</v>
      </c>
      <c r="T8">
        <v>7.28</v>
      </c>
      <c r="U8">
        <v>4</v>
      </c>
      <c r="V8">
        <v>0</v>
      </c>
      <c r="W8">
        <v>1.9656</v>
      </c>
    </row>
    <row r="9" spans="1:23" x14ac:dyDescent="0.35">
      <c r="A9" s="1">
        <v>8</v>
      </c>
      <c r="B9" t="s">
        <v>60</v>
      </c>
      <c r="C9" s="2">
        <v>41799</v>
      </c>
      <c r="D9" s="2">
        <v>41804</v>
      </c>
      <c r="E9" s="2" t="str">
        <f t="shared" si="0"/>
        <v>Jun</v>
      </c>
      <c r="F9" s="5">
        <f>YEAR(Table1[[#This Row],[Order Date]])</f>
        <v>2014</v>
      </c>
      <c r="G9" t="s">
        <v>49</v>
      </c>
      <c r="H9" t="s">
        <v>61</v>
      </c>
      <c r="I9" t="s">
        <v>62</v>
      </c>
      <c r="J9" t="s">
        <v>25</v>
      </c>
      <c r="K9" t="s">
        <v>26</v>
      </c>
      <c r="L9" t="s">
        <v>41</v>
      </c>
      <c r="M9" t="s">
        <v>42</v>
      </c>
      <c r="N9">
        <v>90032</v>
      </c>
      <c r="O9" t="s">
        <v>43</v>
      </c>
      <c r="P9" t="s">
        <v>69</v>
      </c>
      <c r="Q9" t="s">
        <v>70</v>
      </c>
      <c r="R9" t="s">
        <v>71</v>
      </c>
      <c r="S9" t="s">
        <v>72</v>
      </c>
      <c r="T9">
        <v>907.15200000000004</v>
      </c>
      <c r="U9">
        <v>6</v>
      </c>
      <c r="V9">
        <v>0.2</v>
      </c>
      <c r="W9">
        <v>90.715199999999996</v>
      </c>
    </row>
    <row r="10" spans="1:23" x14ac:dyDescent="0.35">
      <c r="A10" s="1">
        <v>9</v>
      </c>
      <c r="B10" t="s">
        <v>60</v>
      </c>
      <c r="C10" s="2">
        <v>41799</v>
      </c>
      <c r="D10" s="2">
        <v>41804</v>
      </c>
      <c r="E10" s="2" t="str">
        <f t="shared" si="0"/>
        <v>Jun</v>
      </c>
      <c r="F10" s="5">
        <f>YEAR(Table1[[#This Row],[Order Date]])</f>
        <v>2014</v>
      </c>
      <c r="G10" t="s">
        <v>49</v>
      </c>
      <c r="H10" t="s">
        <v>61</v>
      </c>
      <c r="I10" t="s">
        <v>62</v>
      </c>
      <c r="J10" t="s">
        <v>25</v>
      </c>
      <c r="K10" t="s">
        <v>26</v>
      </c>
      <c r="L10" t="s">
        <v>41</v>
      </c>
      <c r="M10" t="s">
        <v>42</v>
      </c>
      <c r="N10">
        <v>90032</v>
      </c>
      <c r="O10" t="s">
        <v>43</v>
      </c>
      <c r="P10" t="s">
        <v>73</v>
      </c>
      <c r="Q10" t="s">
        <v>45</v>
      </c>
      <c r="R10" t="s">
        <v>74</v>
      </c>
      <c r="S10" t="s">
        <v>75</v>
      </c>
      <c r="T10">
        <v>18.504000000000001</v>
      </c>
      <c r="U10">
        <v>3</v>
      </c>
      <c r="V10">
        <v>0.2</v>
      </c>
      <c r="W10">
        <v>5.7824999999999998</v>
      </c>
    </row>
    <row r="11" spans="1:23" x14ac:dyDescent="0.35">
      <c r="A11" s="1">
        <v>10</v>
      </c>
      <c r="B11" t="s">
        <v>60</v>
      </c>
      <c r="C11" s="2">
        <v>41799</v>
      </c>
      <c r="D11" s="2">
        <v>41804</v>
      </c>
      <c r="E11" s="2" t="str">
        <f t="shared" si="0"/>
        <v>Jun</v>
      </c>
      <c r="F11" s="5">
        <f>YEAR(Table1[[#This Row],[Order Date]])</f>
        <v>2014</v>
      </c>
      <c r="G11" t="s">
        <v>49</v>
      </c>
      <c r="H11" t="s">
        <v>61</v>
      </c>
      <c r="I11" t="s">
        <v>62</v>
      </c>
      <c r="J11" t="s">
        <v>25</v>
      </c>
      <c r="K11" t="s">
        <v>26</v>
      </c>
      <c r="L11" t="s">
        <v>41</v>
      </c>
      <c r="M11" t="s">
        <v>42</v>
      </c>
      <c r="N11">
        <v>90032</v>
      </c>
      <c r="O11" t="s">
        <v>43</v>
      </c>
      <c r="P11" t="s">
        <v>76</v>
      </c>
      <c r="Q11" t="s">
        <v>45</v>
      </c>
      <c r="R11" t="s">
        <v>77</v>
      </c>
      <c r="S11" t="s">
        <v>78</v>
      </c>
      <c r="T11">
        <v>114.9</v>
      </c>
      <c r="U11">
        <v>5</v>
      </c>
      <c r="V11">
        <v>0</v>
      </c>
      <c r="W11">
        <v>34.47</v>
      </c>
    </row>
    <row r="12" spans="1:23" x14ac:dyDescent="0.35">
      <c r="A12" s="1">
        <v>11</v>
      </c>
      <c r="B12" t="s">
        <v>60</v>
      </c>
      <c r="C12" s="2">
        <v>41799</v>
      </c>
      <c r="D12" s="2">
        <v>41804</v>
      </c>
      <c r="E12" s="2" t="str">
        <f t="shared" si="0"/>
        <v>Jun</v>
      </c>
      <c r="F12" s="5">
        <f>YEAR(Table1[[#This Row],[Order Date]])</f>
        <v>2014</v>
      </c>
      <c r="G12" t="s">
        <v>49</v>
      </c>
      <c r="H12" t="s">
        <v>61</v>
      </c>
      <c r="I12" t="s">
        <v>62</v>
      </c>
      <c r="J12" t="s">
        <v>25</v>
      </c>
      <c r="K12" t="s">
        <v>26</v>
      </c>
      <c r="L12" t="s">
        <v>41</v>
      </c>
      <c r="M12" t="s">
        <v>42</v>
      </c>
      <c r="N12">
        <v>90032</v>
      </c>
      <c r="O12" t="s">
        <v>43</v>
      </c>
      <c r="P12" t="s">
        <v>79</v>
      </c>
      <c r="Q12" t="s">
        <v>31</v>
      </c>
      <c r="R12" t="s">
        <v>55</v>
      </c>
      <c r="S12" t="s">
        <v>80</v>
      </c>
      <c r="T12">
        <v>1706.184</v>
      </c>
      <c r="U12">
        <v>9</v>
      </c>
      <c r="V12">
        <v>0.2</v>
      </c>
      <c r="W12">
        <v>85.309200000000004</v>
      </c>
    </row>
    <row r="13" spans="1:23" x14ac:dyDescent="0.35">
      <c r="A13" s="1">
        <v>12</v>
      </c>
      <c r="B13" t="s">
        <v>60</v>
      </c>
      <c r="C13" s="2">
        <v>41799</v>
      </c>
      <c r="D13" s="2">
        <v>41804</v>
      </c>
      <c r="E13" s="2" t="str">
        <f t="shared" si="0"/>
        <v>Jun</v>
      </c>
      <c r="F13" s="5">
        <f>YEAR(Table1[[#This Row],[Order Date]])</f>
        <v>2014</v>
      </c>
      <c r="G13" t="s">
        <v>49</v>
      </c>
      <c r="H13" t="s">
        <v>61</v>
      </c>
      <c r="I13" t="s">
        <v>62</v>
      </c>
      <c r="J13" t="s">
        <v>25</v>
      </c>
      <c r="K13" t="s">
        <v>26</v>
      </c>
      <c r="L13" t="s">
        <v>41</v>
      </c>
      <c r="M13" t="s">
        <v>42</v>
      </c>
      <c r="N13">
        <v>90032</v>
      </c>
      <c r="O13" t="s">
        <v>43</v>
      </c>
      <c r="P13" t="s">
        <v>81</v>
      </c>
      <c r="Q13" t="s">
        <v>70</v>
      </c>
      <c r="R13" t="s">
        <v>71</v>
      </c>
      <c r="S13" t="s">
        <v>82</v>
      </c>
      <c r="T13">
        <v>911.42399999999998</v>
      </c>
      <c r="U13">
        <v>4</v>
      </c>
      <c r="V13">
        <v>0.2</v>
      </c>
      <c r="W13">
        <v>68.356800000000007</v>
      </c>
    </row>
    <row r="14" spans="1:23" x14ac:dyDescent="0.35">
      <c r="A14" s="1">
        <v>13</v>
      </c>
      <c r="B14" t="s">
        <v>83</v>
      </c>
      <c r="C14" s="2">
        <v>42840</v>
      </c>
      <c r="D14" s="2">
        <v>42845</v>
      </c>
      <c r="E14" s="2" t="str">
        <f t="shared" si="0"/>
        <v>Apr</v>
      </c>
      <c r="F14" s="5">
        <f>YEAR(Table1[[#This Row],[Order Date]])</f>
        <v>2017</v>
      </c>
      <c r="G14" t="s">
        <v>49</v>
      </c>
      <c r="H14" t="s">
        <v>84</v>
      </c>
      <c r="I14" t="s">
        <v>85</v>
      </c>
      <c r="J14" t="s">
        <v>25</v>
      </c>
      <c r="K14" t="s">
        <v>26</v>
      </c>
      <c r="L14" t="s">
        <v>86</v>
      </c>
      <c r="M14" t="s">
        <v>87</v>
      </c>
      <c r="N14">
        <v>28027</v>
      </c>
      <c r="O14" t="s">
        <v>29</v>
      </c>
      <c r="P14" t="s">
        <v>88</v>
      </c>
      <c r="Q14" t="s">
        <v>45</v>
      </c>
      <c r="R14" t="s">
        <v>89</v>
      </c>
      <c r="S14" t="s">
        <v>90</v>
      </c>
      <c r="T14">
        <v>15.552</v>
      </c>
      <c r="U14">
        <v>3</v>
      </c>
      <c r="V14">
        <v>0.2</v>
      </c>
      <c r="W14">
        <v>5.4432</v>
      </c>
    </row>
    <row r="15" spans="1:23" x14ac:dyDescent="0.35">
      <c r="A15" s="1">
        <v>14</v>
      </c>
      <c r="B15" t="s">
        <v>91</v>
      </c>
      <c r="C15" s="2">
        <v>42709</v>
      </c>
      <c r="D15" s="2">
        <v>42714</v>
      </c>
      <c r="E15" s="2" t="str">
        <f t="shared" si="0"/>
        <v>Dec</v>
      </c>
      <c r="F15" s="5">
        <f>YEAR(Table1[[#This Row],[Order Date]])</f>
        <v>2016</v>
      </c>
      <c r="G15" t="s">
        <v>49</v>
      </c>
      <c r="H15" t="s">
        <v>92</v>
      </c>
      <c r="I15" t="s">
        <v>93</v>
      </c>
      <c r="J15" t="s">
        <v>25</v>
      </c>
      <c r="K15" t="s">
        <v>26</v>
      </c>
      <c r="L15" t="s">
        <v>94</v>
      </c>
      <c r="M15" t="s">
        <v>95</v>
      </c>
      <c r="N15">
        <v>98103</v>
      </c>
      <c r="O15" t="s">
        <v>43</v>
      </c>
      <c r="P15" t="s">
        <v>96</v>
      </c>
      <c r="Q15" t="s">
        <v>45</v>
      </c>
      <c r="R15" t="s">
        <v>74</v>
      </c>
      <c r="S15" t="s">
        <v>97</v>
      </c>
      <c r="T15">
        <v>407.976</v>
      </c>
      <c r="U15">
        <v>3</v>
      </c>
      <c r="V15">
        <v>0.2</v>
      </c>
      <c r="W15">
        <v>132.59219999999999</v>
      </c>
    </row>
    <row r="16" spans="1:23" x14ac:dyDescent="0.35">
      <c r="A16" s="1">
        <v>15</v>
      </c>
      <c r="B16" t="s">
        <v>98</v>
      </c>
      <c r="C16" s="2">
        <v>42330</v>
      </c>
      <c r="D16" s="2">
        <v>42334</v>
      </c>
      <c r="E16" s="2" t="str">
        <f t="shared" si="0"/>
        <v>Nov</v>
      </c>
      <c r="F16" s="5">
        <f>YEAR(Table1[[#This Row],[Order Date]])</f>
        <v>2015</v>
      </c>
      <c r="G16" t="s">
        <v>49</v>
      </c>
      <c r="H16" t="s">
        <v>99</v>
      </c>
      <c r="I16" t="s">
        <v>100</v>
      </c>
      <c r="J16" t="s">
        <v>101</v>
      </c>
      <c r="K16" t="s">
        <v>26</v>
      </c>
      <c r="L16" t="s">
        <v>102</v>
      </c>
      <c r="M16" t="s">
        <v>103</v>
      </c>
      <c r="N16">
        <v>76106</v>
      </c>
      <c r="O16" t="s">
        <v>104</v>
      </c>
      <c r="P16" t="s">
        <v>105</v>
      </c>
      <c r="Q16" t="s">
        <v>45</v>
      </c>
      <c r="R16" t="s">
        <v>77</v>
      </c>
      <c r="S16" t="s">
        <v>106</v>
      </c>
      <c r="T16">
        <v>68.81</v>
      </c>
      <c r="U16">
        <v>5</v>
      </c>
      <c r="V16">
        <v>0.8</v>
      </c>
      <c r="W16">
        <v>-123.858</v>
      </c>
    </row>
    <row r="17" spans="1:23" x14ac:dyDescent="0.35">
      <c r="A17" s="1">
        <v>16</v>
      </c>
      <c r="B17" t="s">
        <v>98</v>
      </c>
      <c r="C17" s="2">
        <v>42330</v>
      </c>
      <c r="D17" s="2">
        <v>42334</v>
      </c>
      <c r="E17" s="2" t="str">
        <f t="shared" si="0"/>
        <v>Nov</v>
      </c>
      <c r="F17" s="5">
        <f>YEAR(Table1[[#This Row],[Order Date]])</f>
        <v>2015</v>
      </c>
      <c r="G17" t="s">
        <v>49</v>
      </c>
      <c r="H17" t="s">
        <v>99</v>
      </c>
      <c r="I17" t="s">
        <v>100</v>
      </c>
      <c r="J17" t="s">
        <v>101</v>
      </c>
      <c r="K17" t="s">
        <v>26</v>
      </c>
      <c r="L17" t="s">
        <v>102</v>
      </c>
      <c r="M17" t="s">
        <v>103</v>
      </c>
      <c r="N17">
        <v>76106</v>
      </c>
      <c r="O17" t="s">
        <v>104</v>
      </c>
      <c r="P17" t="s">
        <v>107</v>
      </c>
      <c r="Q17" t="s">
        <v>45</v>
      </c>
      <c r="R17" t="s">
        <v>74</v>
      </c>
      <c r="S17" t="s">
        <v>108</v>
      </c>
      <c r="T17">
        <v>2.544</v>
      </c>
      <c r="U17">
        <v>3</v>
      </c>
      <c r="V17">
        <v>0.8</v>
      </c>
      <c r="W17">
        <v>-3.8159999999999998</v>
      </c>
    </row>
    <row r="18" spans="1:23" x14ac:dyDescent="0.35">
      <c r="A18" s="1">
        <v>17</v>
      </c>
      <c r="B18" t="s">
        <v>109</v>
      </c>
      <c r="C18" s="2">
        <v>41954</v>
      </c>
      <c r="D18" s="2">
        <v>41961</v>
      </c>
      <c r="E18" s="2" t="str">
        <f t="shared" si="0"/>
        <v>Nov</v>
      </c>
      <c r="F18" s="5">
        <f>YEAR(Table1[[#This Row],[Order Date]])</f>
        <v>2014</v>
      </c>
      <c r="G18" t="s">
        <v>49</v>
      </c>
      <c r="H18" t="s">
        <v>110</v>
      </c>
      <c r="I18" t="s">
        <v>111</v>
      </c>
      <c r="J18" t="s">
        <v>25</v>
      </c>
      <c r="K18" t="s">
        <v>26</v>
      </c>
      <c r="L18" t="s">
        <v>112</v>
      </c>
      <c r="M18" t="s">
        <v>113</v>
      </c>
      <c r="N18">
        <v>53711</v>
      </c>
      <c r="O18" t="s">
        <v>104</v>
      </c>
      <c r="P18" t="s">
        <v>114</v>
      </c>
      <c r="Q18" t="s">
        <v>45</v>
      </c>
      <c r="R18" t="s">
        <v>58</v>
      </c>
      <c r="S18" t="s">
        <v>115</v>
      </c>
      <c r="T18">
        <v>665.88</v>
      </c>
      <c r="U18">
        <v>6</v>
      </c>
      <c r="V18">
        <v>0</v>
      </c>
      <c r="W18">
        <v>13.317600000000001</v>
      </c>
    </row>
    <row r="19" spans="1:23" x14ac:dyDescent="0.35">
      <c r="A19" s="1">
        <v>18</v>
      </c>
      <c r="B19" t="s">
        <v>116</v>
      </c>
      <c r="C19" s="2">
        <v>41772</v>
      </c>
      <c r="D19" s="2">
        <v>41774</v>
      </c>
      <c r="E19" s="2" t="str">
        <f t="shared" si="0"/>
        <v>May</v>
      </c>
      <c r="F19" s="5">
        <f>YEAR(Table1[[#This Row],[Order Date]])</f>
        <v>2014</v>
      </c>
      <c r="G19" t="s">
        <v>22</v>
      </c>
      <c r="H19" t="s">
        <v>117</v>
      </c>
      <c r="I19" t="s">
        <v>118</v>
      </c>
      <c r="J19" t="s">
        <v>25</v>
      </c>
      <c r="K19" t="s">
        <v>26</v>
      </c>
      <c r="L19" t="s">
        <v>119</v>
      </c>
      <c r="M19" t="s">
        <v>120</v>
      </c>
      <c r="N19">
        <v>84084</v>
      </c>
      <c r="O19" t="s">
        <v>43</v>
      </c>
      <c r="P19" t="s">
        <v>121</v>
      </c>
      <c r="Q19" t="s">
        <v>45</v>
      </c>
      <c r="R19" t="s">
        <v>58</v>
      </c>
      <c r="S19" t="s">
        <v>122</v>
      </c>
      <c r="T19">
        <v>55.5</v>
      </c>
      <c r="U19">
        <v>2</v>
      </c>
      <c r="V19">
        <v>0</v>
      </c>
      <c r="W19">
        <v>9.99</v>
      </c>
    </row>
    <row r="20" spans="1:23" x14ac:dyDescent="0.35">
      <c r="A20" s="1">
        <v>19</v>
      </c>
      <c r="B20" t="s">
        <v>123</v>
      </c>
      <c r="C20" s="2">
        <v>41878</v>
      </c>
      <c r="D20" s="2">
        <v>41883</v>
      </c>
      <c r="E20" s="2" t="str">
        <f t="shared" si="0"/>
        <v>Aug</v>
      </c>
      <c r="F20" s="5">
        <f>YEAR(Table1[[#This Row],[Order Date]])</f>
        <v>2014</v>
      </c>
      <c r="G20" t="s">
        <v>22</v>
      </c>
      <c r="H20" t="s">
        <v>124</v>
      </c>
      <c r="I20" t="s">
        <v>125</v>
      </c>
      <c r="J20" t="s">
        <v>25</v>
      </c>
      <c r="K20" t="s">
        <v>26</v>
      </c>
      <c r="L20" t="s">
        <v>126</v>
      </c>
      <c r="M20" t="s">
        <v>42</v>
      </c>
      <c r="N20">
        <v>94109</v>
      </c>
      <c r="O20" t="s">
        <v>43</v>
      </c>
      <c r="P20" t="s">
        <v>127</v>
      </c>
      <c r="Q20" t="s">
        <v>45</v>
      </c>
      <c r="R20" t="s">
        <v>67</v>
      </c>
      <c r="S20" t="s">
        <v>128</v>
      </c>
      <c r="T20">
        <v>8.56</v>
      </c>
      <c r="U20">
        <v>2</v>
      </c>
      <c r="V20">
        <v>0</v>
      </c>
      <c r="W20">
        <v>2.4824000000000002</v>
      </c>
    </row>
    <row r="21" spans="1:23" x14ac:dyDescent="0.35">
      <c r="A21" s="1">
        <v>20</v>
      </c>
      <c r="B21" t="s">
        <v>123</v>
      </c>
      <c r="C21" s="2">
        <v>41878</v>
      </c>
      <c r="D21" s="2">
        <v>41883</v>
      </c>
      <c r="E21" s="2" t="str">
        <f t="shared" si="0"/>
        <v>Aug</v>
      </c>
      <c r="F21" s="5">
        <f>YEAR(Table1[[#This Row],[Order Date]])</f>
        <v>2014</v>
      </c>
      <c r="G21" t="s">
        <v>22</v>
      </c>
      <c r="H21" t="s">
        <v>124</v>
      </c>
      <c r="I21" t="s">
        <v>125</v>
      </c>
      <c r="J21" t="s">
        <v>25</v>
      </c>
      <c r="K21" t="s">
        <v>26</v>
      </c>
      <c r="L21" t="s">
        <v>126</v>
      </c>
      <c r="M21" t="s">
        <v>42</v>
      </c>
      <c r="N21">
        <v>94109</v>
      </c>
      <c r="O21" t="s">
        <v>43</v>
      </c>
      <c r="P21" t="s">
        <v>129</v>
      </c>
      <c r="Q21" t="s">
        <v>70</v>
      </c>
      <c r="R21" t="s">
        <v>71</v>
      </c>
      <c r="S21" t="s">
        <v>130</v>
      </c>
      <c r="T21">
        <v>213.48</v>
      </c>
      <c r="U21">
        <v>3</v>
      </c>
      <c r="V21">
        <v>0.2</v>
      </c>
      <c r="W21">
        <v>16.010999999999999</v>
      </c>
    </row>
    <row r="22" spans="1:23" x14ac:dyDescent="0.35">
      <c r="A22" s="1">
        <v>21</v>
      </c>
      <c r="B22" t="s">
        <v>123</v>
      </c>
      <c r="C22" s="2">
        <v>41878</v>
      </c>
      <c r="D22" s="2">
        <v>41883</v>
      </c>
      <c r="E22" s="2" t="str">
        <f t="shared" si="0"/>
        <v>Aug</v>
      </c>
      <c r="F22" s="5">
        <f>YEAR(Table1[[#This Row],[Order Date]])</f>
        <v>2014</v>
      </c>
      <c r="G22" t="s">
        <v>22</v>
      </c>
      <c r="H22" t="s">
        <v>124</v>
      </c>
      <c r="I22" t="s">
        <v>125</v>
      </c>
      <c r="J22" t="s">
        <v>25</v>
      </c>
      <c r="K22" t="s">
        <v>26</v>
      </c>
      <c r="L22" t="s">
        <v>126</v>
      </c>
      <c r="M22" t="s">
        <v>42</v>
      </c>
      <c r="N22">
        <v>94109</v>
      </c>
      <c r="O22" t="s">
        <v>43</v>
      </c>
      <c r="P22" t="s">
        <v>131</v>
      </c>
      <c r="Q22" t="s">
        <v>45</v>
      </c>
      <c r="R22" t="s">
        <v>74</v>
      </c>
      <c r="S22" t="s">
        <v>132</v>
      </c>
      <c r="T22">
        <v>22.72</v>
      </c>
      <c r="U22">
        <v>4</v>
      </c>
      <c r="V22">
        <v>0.2</v>
      </c>
      <c r="W22">
        <v>7.3840000000000003</v>
      </c>
    </row>
    <row r="23" spans="1:23" x14ac:dyDescent="0.35">
      <c r="A23" s="1">
        <v>22</v>
      </c>
      <c r="B23" t="s">
        <v>133</v>
      </c>
      <c r="C23" s="2">
        <v>42713</v>
      </c>
      <c r="D23" s="2">
        <v>42717</v>
      </c>
      <c r="E23" s="2" t="str">
        <f t="shared" si="0"/>
        <v>Dec</v>
      </c>
      <c r="F23" s="5">
        <f>YEAR(Table1[[#This Row],[Order Date]])</f>
        <v>2016</v>
      </c>
      <c r="G23" t="s">
        <v>49</v>
      </c>
      <c r="H23" t="s">
        <v>134</v>
      </c>
      <c r="I23" t="s">
        <v>135</v>
      </c>
      <c r="J23" t="s">
        <v>40</v>
      </c>
      <c r="K23" t="s">
        <v>26</v>
      </c>
      <c r="L23" t="s">
        <v>136</v>
      </c>
      <c r="M23" t="s">
        <v>137</v>
      </c>
      <c r="N23">
        <v>68025</v>
      </c>
      <c r="O23" t="s">
        <v>104</v>
      </c>
      <c r="P23" t="s">
        <v>138</v>
      </c>
      <c r="Q23" t="s">
        <v>45</v>
      </c>
      <c r="R23" t="s">
        <v>67</v>
      </c>
      <c r="S23" t="s">
        <v>139</v>
      </c>
      <c r="T23">
        <v>19.46</v>
      </c>
      <c r="U23">
        <v>7</v>
      </c>
      <c r="V23">
        <v>0</v>
      </c>
      <c r="W23">
        <v>5.0595999999999997</v>
      </c>
    </row>
    <row r="24" spans="1:23" x14ac:dyDescent="0.35">
      <c r="A24" s="1">
        <v>23</v>
      </c>
      <c r="B24" t="s">
        <v>133</v>
      </c>
      <c r="C24" s="2">
        <v>42713</v>
      </c>
      <c r="D24" s="2">
        <v>42717</v>
      </c>
      <c r="E24" s="2" t="str">
        <f t="shared" si="0"/>
        <v>Dec</v>
      </c>
      <c r="F24" s="5">
        <f>YEAR(Table1[[#This Row],[Order Date]])</f>
        <v>2016</v>
      </c>
      <c r="G24" t="s">
        <v>49</v>
      </c>
      <c r="H24" t="s">
        <v>134</v>
      </c>
      <c r="I24" t="s">
        <v>135</v>
      </c>
      <c r="J24" t="s">
        <v>40</v>
      </c>
      <c r="K24" t="s">
        <v>26</v>
      </c>
      <c r="L24" t="s">
        <v>136</v>
      </c>
      <c r="M24" t="s">
        <v>137</v>
      </c>
      <c r="N24">
        <v>68025</v>
      </c>
      <c r="O24" t="s">
        <v>104</v>
      </c>
      <c r="P24" t="s">
        <v>140</v>
      </c>
      <c r="Q24" t="s">
        <v>45</v>
      </c>
      <c r="R24" t="s">
        <v>77</v>
      </c>
      <c r="S24" t="s">
        <v>141</v>
      </c>
      <c r="T24">
        <v>60.34</v>
      </c>
      <c r="U24">
        <v>7</v>
      </c>
      <c r="V24">
        <v>0</v>
      </c>
      <c r="W24">
        <v>15.6884</v>
      </c>
    </row>
    <row r="25" spans="1:23" x14ac:dyDescent="0.35">
      <c r="A25" s="1">
        <v>24</v>
      </c>
      <c r="B25" t="s">
        <v>142</v>
      </c>
      <c r="C25" s="2">
        <v>42932</v>
      </c>
      <c r="D25" s="2">
        <v>42934</v>
      </c>
      <c r="E25" s="2" t="str">
        <f t="shared" si="0"/>
        <v>Jul</v>
      </c>
      <c r="F25" s="5">
        <f>YEAR(Table1[[#This Row],[Order Date]])</f>
        <v>2017</v>
      </c>
      <c r="G25" t="s">
        <v>22</v>
      </c>
      <c r="H25" t="s">
        <v>143</v>
      </c>
      <c r="I25" t="s">
        <v>144</v>
      </c>
      <c r="J25" t="s">
        <v>25</v>
      </c>
      <c r="K25" t="s">
        <v>26</v>
      </c>
      <c r="L25" t="s">
        <v>145</v>
      </c>
      <c r="M25" t="s">
        <v>146</v>
      </c>
      <c r="N25">
        <v>19140</v>
      </c>
      <c r="O25" t="s">
        <v>147</v>
      </c>
      <c r="P25" t="s">
        <v>148</v>
      </c>
      <c r="Q25" t="s">
        <v>31</v>
      </c>
      <c r="R25" t="s">
        <v>35</v>
      </c>
      <c r="S25" t="s">
        <v>149</v>
      </c>
      <c r="T25">
        <v>71.372</v>
      </c>
      <c r="U25">
        <v>2</v>
      </c>
      <c r="V25">
        <v>0.3</v>
      </c>
      <c r="W25">
        <v>-1.0196000000000001</v>
      </c>
    </row>
    <row r="26" spans="1:23" x14ac:dyDescent="0.35">
      <c r="A26" s="1">
        <v>25</v>
      </c>
      <c r="B26" t="s">
        <v>150</v>
      </c>
      <c r="C26" s="2">
        <v>42272</v>
      </c>
      <c r="D26" s="2">
        <v>42277</v>
      </c>
      <c r="E26" s="2" t="str">
        <f t="shared" si="0"/>
        <v>Sep</v>
      </c>
      <c r="F26" s="5">
        <f>YEAR(Table1[[#This Row],[Order Date]])</f>
        <v>2015</v>
      </c>
      <c r="G26" t="s">
        <v>49</v>
      </c>
      <c r="H26" t="s">
        <v>151</v>
      </c>
      <c r="I26" t="s">
        <v>152</v>
      </c>
      <c r="J26" t="s">
        <v>25</v>
      </c>
      <c r="K26" t="s">
        <v>26</v>
      </c>
      <c r="L26" t="s">
        <v>153</v>
      </c>
      <c r="M26" t="s">
        <v>120</v>
      </c>
      <c r="N26">
        <v>84057</v>
      </c>
      <c r="O26" t="s">
        <v>43</v>
      </c>
      <c r="P26" t="s">
        <v>54</v>
      </c>
      <c r="Q26" t="s">
        <v>31</v>
      </c>
      <c r="R26" t="s">
        <v>55</v>
      </c>
      <c r="S26" t="s">
        <v>56</v>
      </c>
      <c r="T26">
        <v>1044.6300000000001</v>
      </c>
      <c r="U26">
        <v>3</v>
      </c>
      <c r="V26">
        <v>0</v>
      </c>
      <c r="W26">
        <v>240.26490000000001</v>
      </c>
    </row>
    <row r="27" spans="1:23" x14ac:dyDescent="0.35">
      <c r="A27" s="1">
        <v>26</v>
      </c>
      <c r="B27" t="s">
        <v>154</v>
      </c>
      <c r="C27" s="2">
        <v>42385</v>
      </c>
      <c r="D27" s="2">
        <v>42389</v>
      </c>
      <c r="E27" s="2" t="str">
        <f t="shared" si="0"/>
        <v>Jan</v>
      </c>
      <c r="F27" s="5">
        <f>YEAR(Table1[[#This Row],[Order Date]])</f>
        <v>2016</v>
      </c>
      <c r="G27" t="s">
        <v>22</v>
      </c>
      <c r="H27" t="s">
        <v>155</v>
      </c>
      <c r="I27" t="s">
        <v>156</v>
      </c>
      <c r="J27" t="s">
        <v>25</v>
      </c>
      <c r="K27" t="s">
        <v>26</v>
      </c>
      <c r="L27" t="s">
        <v>41</v>
      </c>
      <c r="M27" t="s">
        <v>42</v>
      </c>
      <c r="N27">
        <v>90049</v>
      </c>
      <c r="O27" t="s">
        <v>43</v>
      </c>
      <c r="P27" t="s">
        <v>157</v>
      </c>
      <c r="Q27" t="s">
        <v>45</v>
      </c>
      <c r="R27" t="s">
        <v>74</v>
      </c>
      <c r="S27" t="s">
        <v>158</v>
      </c>
      <c r="T27">
        <v>11.648</v>
      </c>
      <c r="U27">
        <v>2</v>
      </c>
      <c r="V27">
        <v>0.2</v>
      </c>
      <c r="W27">
        <v>4.2224000000000004</v>
      </c>
    </row>
    <row r="28" spans="1:23" x14ac:dyDescent="0.35">
      <c r="A28" s="1">
        <v>27</v>
      </c>
      <c r="B28" t="s">
        <v>154</v>
      </c>
      <c r="C28" s="2">
        <v>42385</v>
      </c>
      <c r="D28" s="2">
        <v>42389</v>
      </c>
      <c r="E28" s="2" t="str">
        <f t="shared" si="0"/>
        <v>Jan</v>
      </c>
      <c r="F28" s="5">
        <f>YEAR(Table1[[#This Row],[Order Date]])</f>
        <v>2016</v>
      </c>
      <c r="G28" t="s">
        <v>22</v>
      </c>
      <c r="H28" t="s">
        <v>155</v>
      </c>
      <c r="I28" t="s">
        <v>156</v>
      </c>
      <c r="J28" t="s">
        <v>25</v>
      </c>
      <c r="K28" t="s">
        <v>26</v>
      </c>
      <c r="L28" t="s">
        <v>41</v>
      </c>
      <c r="M28" t="s">
        <v>42</v>
      </c>
      <c r="N28">
        <v>90049</v>
      </c>
      <c r="O28" t="s">
        <v>43</v>
      </c>
      <c r="P28" t="s">
        <v>159</v>
      </c>
      <c r="Q28" t="s">
        <v>70</v>
      </c>
      <c r="R28" t="s">
        <v>160</v>
      </c>
      <c r="S28" t="s">
        <v>161</v>
      </c>
      <c r="T28">
        <v>90.57</v>
      </c>
      <c r="U28">
        <v>3</v>
      </c>
      <c r="V28">
        <v>0</v>
      </c>
      <c r="W28">
        <v>11.774100000000001</v>
      </c>
    </row>
    <row r="29" spans="1:23" x14ac:dyDescent="0.35">
      <c r="A29" s="1">
        <v>28</v>
      </c>
      <c r="B29" t="s">
        <v>162</v>
      </c>
      <c r="C29" s="2">
        <v>42264</v>
      </c>
      <c r="D29" s="2">
        <v>42268</v>
      </c>
      <c r="E29" s="2" t="str">
        <f t="shared" si="0"/>
        <v>Sep</v>
      </c>
      <c r="F29" s="5">
        <f>YEAR(Table1[[#This Row],[Order Date]])</f>
        <v>2015</v>
      </c>
      <c r="G29" t="s">
        <v>49</v>
      </c>
      <c r="H29" t="s">
        <v>163</v>
      </c>
      <c r="I29" t="s">
        <v>164</v>
      </c>
      <c r="J29" t="s">
        <v>25</v>
      </c>
      <c r="K29" t="s">
        <v>26</v>
      </c>
      <c r="L29" t="s">
        <v>145</v>
      </c>
      <c r="M29" t="s">
        <v>146</v>
      </c>
      <c r="N29">
        <v>19140</v>
      </c>
      <c r="O29" t="s">
        <v>147</v>
      </c>
      <c r="P29" t="s">
        <v>165</v>
      </c>
      <c r="Q29" t="s">
        <v>31</v>
      </c>
      <c r="R29" t="s">
        <v>32</v>
      </c>
      <c r="S29" t="s">
        <v>166</v>
      </c>
      <c r="T29">
        <v>3083.43</v>
      </c>
      <c r="U29">
        <v>7</v>
      </c>
      <c r="V29">
        <v>0.5</v>
      </c>
      <c r="W29">
        <v>-1665.0522000000001</v>
      </c>
    </row>
    <row r="30" spans="1:23" x14ac:dyDescent="0.35">
      <c r="A30" s="1">
        <v>29</v>
      </c>
      <c r="B30" t="s">
        <v>162</v>
      </c>
      <c r="C30" s="2">
        <v>42264</v>
      </c>
      <c r="D30" s="2">
        <v>42268</v>
      </c>
      <c r="E30" s="2" t="str">
        <f t="shared" si="0"/>
        <v>Sep</v>
      </c>
      <c r="F30" s="5">
        <f>YEAR(Table1[[#This Row],[Order Date]])</f>
        <v>2015</v>
      </c>
      <c r="G30" t="s">
        <v>49</v>
      </c>
      <c r="H30" t="s">
        <v>163</v>
      </c>
      <c r="I30" t="s">
        <v>164</v>
      </c>
      <c r="J30" t="s">
        <v>25</v>
      </c>
      <c r="K30" t="s">
        <v>26</v>
      </c>
      <c r="L30" t="s">
        <v>145</v>
      </c>
      <c r="M30" t="s">
        <v>146</v>
      </c>
      <c r="N30">
        <v>19140</v>
      </c>
      <c r="O30" t="s">
        <v>147</v>
      </c>
      <c r="P30" t="s">
        <v>167</v>
      </c>
      <c r="Q30" t="s">
        <v>45</v>
      </c>
      <c r="R30" t="s">
        <v>74</v>
      </c>
      <c r="S30" t="s">
        <v>168</v>
      </c>
      <c r="T30">
        <v>9.6180000000000003</v>
      </c>
      <c r="U30">
        <v>2</v>
      </c>
      <c r="V30">
        <v>0.7</v>
      </c>
      <c r="W30">
        <v>-7.0532000000000004</v>
      </c>
    </row>
    <row r="31" spans="1:23" x14ac:dyDescent="0.35">
      <c r="A31" s="1">
        <v>30</v>
      </c>
      <c r="B31" t="s">
        <v>162</v>
      </c>
      <c r="C31" s="2">
        <v>42264</v>
      </c>
      <c r="D31" s="2">
        <v>42268</v>
      </c>
      <c r="E31" s="2" t="str">
        <f t="shared" si="0"/>
        <v>Sep</v>
      </c>
      <c r="F31" s="5">
        <f>YEAR(Table1[[#This Row],[Order Date]])</f>
        <v>2015</v>
      </c>
      <c r="G31" t="s">
        <v>49</v>
      </c>
      <c r="H31" t="s">
        <v>163</v>
      </c>
      <c r="I31" t="s">
        <v>164</v>
      </c>
      <c r="J31" t="s">
        <v>25</v>
      </c>
      <c r="K31" t="s">
        <v>26</v>
      </c>
      <c r="L31" t="s">
        <v>145</v>
      </c>
      <c r="M31" t="s">
        <v>146</v>
      </c>
      <c r="N31">
        <v>19140</v>
      </c>
      <c r="O31" t="s">
        <v>147</v>
      </c>
      <c r="P31" t="s">
        <v>169</v>
      </c>
      <c r="Q31" t="s">
        <v>31</v>
      </c>
      <c r="R31" t="s">
        <v>64</v>
      </c>
      <c r="S31" t="s">
        <v>170</v>
      </c>
      <c r="T31">
        <v>124.2</v>
      </c>
      <c r="U31">
        <v>3</v>
      </c>
      <c r="V31">
        <v>0.2</v>
      </c>
      <c r="W31">
        <v>15.525</v>
      </c>
    </row>
    <row r="32" spans="1:23" x14ac:dyDescent="0.35">
      <c r="A32" s="1">
        <v>31</v>
      </c>
      <c r="B32" t="s">
        <v>162</v>
      </c>
      <c r="C32" s="2">
        <v>42264</v>
      </c>
      <c r="D32" s="2">
        <v>42268</v>
      </c>
      <c r="E32" s="2" t="str">
        <f t="shared" si="0"/>
        <v>Sep</v>
      </c>
      <c r="F32" s="5">
        <f>YEAR(Table1[[#This Row],[Order Date]])</f>
        <v>2015</v>
      </c>
      <c r="G32" t="s">
        <v>49</v>
      </c>
      <c r="H32" t="s">
        <v>163</v>
      </c>
      <c r="I32" t="s">
        <v>164</v>
      </c>
      <c r="J32" t="s">
        <v>25</v>
      </c>
      <c r="K32" t="s">
        <v>26</v>
      </c>
      <c r="L32" t="s">
        <v>145</v>
      </c>
      <c r="M32" t="s">
        <v>146</v>
      </c>
      <c r="N32">
        <v>19140</v>
      </c>
      <c r="O32" t="s">
        <v>147</v>
      </c>
      <c r="P32" t="s">
        <v>171</v>
      </c>
      <c r="Q32" t="s">
        <v>45</v>
      </c>
      <c r="R32" t="s">
        <v>172</v>
      </c>
      <c r="S32" t="s">
        <v>173</v>
      </c>
      <c r="T32">
        <v>3.2639999999999998</v>
      </c>
      <c r="U32">
        <v>2</v>
      </c>
      <c r="V32">
        <v>0.2</v>
      </c>
      <c r="W32">
        <v>1.1015999999999999</v>
      </c>
    </row>
    <row r="33" spans="1:23" x14ac:dyDescent="0.35">
      <c r="A33" s="1">
        <v>32</v>
      </c>
      <c r="B33" t="s">
        <v>162</v>
      </c>
      <c r="C33" s="2">
        <v>42264</v>
      </c>
      <c r="D33" s="2">
        <v>42268</v>
      </c>
      <c r="E33" s="2" t="str">
        <f t="shared" si="0"/>
        <v>Sep</v>
      </c>
      <c r="F33" s="5">
        <f>YEAR(Table1[[#This Row],[Order Date]])</f>
        <v>2015</v>
      </c>
      <c r="G33" t="s">
        <v>49</v>
      </c>
      <c r="H33" t="s">
        <v>163</v>
      </c>
      <c r="I33" t="s">
        <v>164</v>
      </c>
      <c r="J33" t="s">
        <v>25</v>
      </c>
      <c r="K33" t="s">
        <v>26</v>
      </c>
      <c r="L33" t="s">
        <v>145</v>
      </c>
      <c r="M33" t="s">
        <v>146</v>
      </c>
      <c r="N33">
        <v>19140</v>
      </c>
      <c r="O33" t="s">
        <v>147</v>
      </c>
      <c r="P33" t="s">
        <v>174</v>
      </c>
      <c r="Q33" t="s">
        <v>45</v>
      </c>
      <c r="R33" t="s">
        <v>67</v>
      </c>
      <c r="S33" t="s">
        <v>175</v>
      </c>
      <c r="T33">
        <v>86.304000000000002</v>
      </c>
      <c r="U33">
        <v>6</v>
      </c>
      <c r="V33">
        <v>0.2</v>
      </c>
      <c r="W33">
        <v>9.7091999999999992</v>
      </c>
    </row>
    <row r="34" spans="1:23" x14ac:dyDescent="0.35">
      <c r="A34" s="1">
        <v>33</v>
      </c>
      <c r="B34" t="s">
        <v>162</v>
      </c>
      <c r="C34" s="2">
        <v>42264</v>
      </c>
      <c r="D34" s="2">
        <v>42268</v>
      </c>
      <c r="E34" s="2" t="str">
        <f t="shared" si="0"/>
        <v>Sep</v>
      </c>
      <c r="F34" s="5">
        <f>YEAR(Table1[[#This Row],[Order Date]])</f>
        <v>2015</v>
      </c>
      <c r="G34" t="s">
        <v>49</v>
      </c>
      <c r="H34" t="s">
        <v>163</v>
      </c>
      <c r="I34" t="s">
        <v>164</v>
      </c>
      <c r="J34" t="s">
        <v>25</v>
      </c>
      <c r="K34" t="s">
        <v>26</v>
      </c>
      <c r="L34" t="s">
        <v>145</v>
      </c>
      <c r="M34" t="s">
        <v>146</v>
      </c>
      <c r="N34">
        <v>19140</v>
      </c>
      <c r="O34" t="s">
        <v>147</v>
      </c>
      <c r="P34" t="s">
        <v>176</v>
      </c>
      <c r="Q34" t="s">
        <v>45</v>
      </c>
      <c r="R34" t="s">
        <v>74</v>
      </c>
      <c r="S34" t="s">
        <v>177</v>
      </c>
      <c r="T34">
        <v>6.8579999999999997</v>
      </c>
      <c r="U34">
        <v>6</v>
      </c>
      <c r="V34">
        <v>0.7</v>
      </c>
      <c r="W34">
        <v>-5.7149999999999999</v>
      </c>
    </row>
    <row r="35" spans="1:23" x14ac:dyDescent="0.35">
      <c r="A35" s="1">
        <v>34</v>
      </c>
      <c r="B35" t="s">
        <v>162</v>
      </c>
      <c r="C35" s="2">
        <v>42264</v>
      </c>
      <c r="D35" s="2">
        <v>42268</v>
      </c>
      <c r="E35" s="2" t="str">
        <f t="shared" si="0"/>
        <v>Sep</v>
      </c>
      <c r="F35" s="5">
        <f>YEAR(Table1[[#This Row],[Order Date]])</f>
        <v>2015</v>
      </c>
      <c r="G35" t="s">
        <v>49</v>
      </c>
      <c r="H35" t="s">
        <v>163</v>
      </c>
      <c r="I35" t="s">
        <v>164</v>
      </c>
      <c r="J35" t="s">
        <v>25</v>
      </c>
      <c r="K35" t="s">
        <v>26</v>
      </c>
      <c r="L35" t="s">
        <v>145</v>
      </c>
      <c r="M35" t="s">
        <v>146</v>
      </c>
      <c r="N35">
        <v>19140</v>
      </c>
      <c r="O35" t="s">
        <v>147</v>
      </c>
      <c r="P35" t="s">
        <v>178</v>
      </c>
      <c r="Q35" t="s">
        <v>45</v>
      </c>
      <c r="R35" t="s">
        <v>67</v>
      </c>
      <c r="S35" t="s">
        <v>179</v>
      </c>
      <c r="T35">
        <v>15.76</v>
      </c>
      <c r="U35">
        <v>2</v>
      </c>
      <c r="V35">
        <v>0.2</v>
      </c>
      <c r="W35">
        <v>3.5459999999999998</v>
      </c>
    </row>
    <row r="36" spans="1:23" x14ac:dyDescent="0.35">
      <c r="A36" s="1">
        <v>35</v>
      </c>
      <c r="B36" t="s">
        <v>180</v>
      </c>
      <c r="C36" s="2">
        <v>43027</v>
      </c>
      <c r="D36" s="2">
        <v>43031</v>
      </c>
      <c r="E36" s="2" t="str">
        <f t="shared" si="0"/>
        <v>Oct</v>
      </c>
      <c r="F36" s="5">
        <f>YEAR(Table1[[#This Row],[Order Date]])</f>
        <v>2017</v>
      </c>
      <c r="G36" t="s">
        <v>22</v>
      </c>
      <c r="H36" t="s">
        <v>181</v>
      </c>
      <c r="I36" t="s">
        <v>182</v>
      </c>
      <c r="J36" t="s">
        <v>101</v>
      </c>
      <c r="K36" t="s">
        <v>26</v>
      </c>
      <c r="L36" t="s">
        <v>183</v>
      </c>
      <c r="M36" t="s">
        <v>103</v>
      </c>
      <c r="N36">
        <v>77095</v>
      </c>
      <c r="O36" t="s">
        <v>104</v>
      </c>
      <c r="P36" t="s">
        <v>184</v>
      </c>
      <c r="Q36" t="s">
        <v>45</v>
      </c>
      <c r="R36" t="s">
        <v>89</v>
      </c>
      <c r="S36" t="s">
        <v>185</v>
      </c>
      <c r="T36">
        <v>29.472000000000001</v>
      </c>
      <c r="U36">
        <v>3</v>
      </c>
      <c r="V36">
        <v>0.2</v>
      </c>
      <c r="W36">
        <v>9.9467999999999996</v>
      </c>
    </row>
    <row r="37" spans="1:23" x14ac:dyDescent="0.35">
      <c r="A37" s="1">
        <v>36</v>
      </c>
      <c r="B37" t="s">
        <v>186</v>
      </c>
      <c r="C37" s="2">
        <v>42712</v>
      </c>
      <c r="D37" s="2">
        <v>42714</v>
      </c>
      <c r="E37" s="2" t="str">
        <f t="shared" si="0"/>
        <v>Dec</v>
      </c>
      <c r="F37" s="5">
        <f>YEAR(Table1[[#This Row],[Order Date]])</f>
        <v>2016</v>
      </c>
      <c r="G37" t="s">
        <v>187</v>
      </c>
      <c r="H37" t="s">
        <v>188</v>
      </c>
      <c r="I37" t="s">
        <v>189</v>
      </c>
      <c r="J37" t="s">
        <v>40</v>
      </c>
      <c r="K37" t="s">
        <v>26</v>
      </c>
      <c r="L37" t="s">
        <v>190</v>
      </c>
      <c r="M37" t="s">
        <v>103</v>
      </c>
      <c r="N37">
        <v>75080</v>
      </c>
      <c r="O37" t="s">
        <v>104</v>
      </c>
      <c r="P37" t="s">
        <v>191</v>
      </c>
      <c r="Q37" t="s">
        <v>70</v>
      </c>
      <c r="R37" t="s">
        <v>71</v>
      </c>
      <c r="S37" t="s">
        <v>192</v>
      </c>
      <c r="T37">
        <v>1097.5440000000001</v>
      </c>
      <c r="U37">
        <v>7</v>
      </c>
      <c r="V37">
        <v>0.2</v>
      </c>
      <c r="W37">
        <v>123.47369999999999</v>
      </c>
    </row>
    <row r="38" spans="1:23" x14ac:dyDescent="0.35">
      <c r="A38" s="1">
        <v>37</v>
      </c>
      <c r="B38" t="s">
        <v>186</v>
      </c>
      <c r="C38" s="2">
        <v>42712</v>
      </c>
      <c r="D38" s="2">
        <v>42714</v>
      </c>
      <c r="E38" s="2" t="str">
        <f t="shared" si="0"/>
        <v>Dec</v>
      </c>
      <c r="F38" s="5">
        <f>YEAR(Table1[[#This Row],[Order Date]])</f>
        <v>2016</v>
      </c>
      <c r="G38" t="s">
        <v>187</v>
      </c>
      <c r="H38" t="s">
        <v>188</v>
      </c>
      <c r="I38" t="s">
        <v>189</v>
      </c>
      <c r="J38" t="s">
        <v>40</v>
      </c>
      <c r="K38" t="s">
        <v>26</v>
      </c>
      <c r="L38" t="s">
        <v>190</v>
      </c>
      <c r="M38" t="s">
        <v>103</v>
      </c>
      <c r="N38">
        <v>75080</v>
      </c>
      <c r="O38" t="s">
        <v>104</v>
      </c>
      <c r="P38" t="s">
        <v>193</v>
      </c>
      <c r="Q38" t="s">
        <v>31</v>
      </c>
      <c r="R38" t="s">
        <v>64</v>
      </c>
      <c r="S38" t="s">
        <v>194</v>
      </c>
      <c r="T38">
        <v>190.92</v>
      </c>
      <c r="U38">
        <v>5</v>
      </c>
      <c r="V38">
        <v>0.6</v>
      </c>
      <c r="W38">
        <v>-147.96299999999999</v>
      </c>
    </row>
    <row r="39" spans="1:23" x14ac:dyDescent="0.35">
      <c r="A39" s="1">
        <v>38</v>
      </c>
      <c r="B39" t="s">
        <v>195</v>
      </c>
      <c r="C39" s="2">
        <v>42365</v>
      </c>
      <c r="D39" s="2">
        <v>42369</v>
      </c>
      <c r="E39" s="2" t="str">
        <f t="shared" si="0"/>
        <v>Dec</v>
      </c>
      <c r="F39" s="5">
        <f>YEAR(Table1[[#This Row],[Order Date]])</f>
        <v>2015</v>
      </c>
      <c r="G39" t="s">
        <v>49</v>
      </c>
      <c r="H39" t="s">
        <v>196</v>
      </c>
      <c r="I39" t="s">
        <v>197</v>
      </c>
      <c r="J39" t="s">
        <v>101</v>
      </c>
      <c r="K39" t="s">
        <v>26</v>
      </c>
      <c r="L39" t="s">
        <v>183</v>
      </c>
      <c r="M39" t="s">
        <v>103</v>
      </c>
      <c r="N39">
        <v>77041</v>
      </c>
      <c r="O39" t="s">
        <v>104</v>
      </c>
      <c r="P39" t="s">
        <v>198</v>
      </c>
      <c r="Q39" t="s">
        <v>45</v>
      </c>
      <c r="R39" t="s">
        <v>172</v>
      </c>
      <c r="S39" t="s">
        <v>199</v>
      </c>
      <c r="T39">
        <v>113.328</v>
      </c>
      <c r="U39">
        <v>9</v>
      </c>
      <c r="V39">
        <v>0.2</v>
      </c>
      <c r="W39">
        <v>35.414999999999999</v>
      </c>
    </row>
    <row r="40" spans="1:23" x14ac:dyDescent="0.35">
      <c r="A40" s="1">
        <v>39</v>
      </c>
      <c r="B40" t="s">
        <v>195</v>
      </c>
      <c r="C40" s="2">
        <v>42365</v>
      </c>
      <c r="D40" s="2">
        <v>42369</v>
      </c>
      <c r="E40" s="2" t="str">
        <f t="shared" si="0"/>
        <v>Dec</v>
      </c>
      <c r="F40" s="5">
        <f>YEAR(Table1[[#This Row],[Order Date]])</f>
        <v>2015</v>
      </c>
      <c r="G40" t="s">
        <v>49</v>
      </c>
      <c r="H40" t="s">
        <v>196</v>
      </c>
      <c r="I40" t="s">
        <v>197</v>
      </c>
      <c r="J40" t="s">
        <v>101</v>
      </c>
      <c r="K40" t="s">
        <v>26</v>
      </c>
      <c r="L40" t="s">
        <v>183</v>
      </c>
      <c r="M40" t="s">
        <v>103</v>
      </c>
      <c r="N40">
        <v>77041</v>
      </c>
      <c r="O40" t="s">
        <v>104</v>
      </c>
      <c r="P40" t="s">
        <v>200</v>
      </c>
      <c r="Q40" t="s">
        <v>31</v>
      </c>
      <c r="R40" t="s">
        <v>32</v>
      </c>
      <c r="S40" t="s">
        <v>201</v>
      </c>
      <c r="T40">
        <v>532.39919999999995</v>
      </c>
      <c r="U40">
        <v>3</v>
      </c>
      <c r="V40">
        <v>0.32</v>
      </c>
      <c r="W40">
        <v>-46.976399999999998</v>
      </c>
    </row>
    <row r="41" spans="1:23" x14ac:dyDescent="0.35">
      <c r="A41" s="1">
        <v>40</v>
      </c>
      <c r="B41" t="s">
        <v>195</v>
      </c>
      <c r="C41" s="2">
        <v>42365</v>
      </c>
      <c r="D41" s="2">
        <v>42369</v>
      </c>
      <c r="E41" s="2" t="str">
        <f t="shared" si="0"/>
        <v>Dec</v>
      </c>
      <c r="F41" s="5">
        <f>YEAR(Table1[[#This Row],[Order Date]])</f>
        <v>2015</v>
      </c>
      <c r="G41" t="s">
        <v>49</v>
      </c>
      <c r="H41" t="s">
        <v>196</v>
      </c>
      <c r="I41" t="s">
        <v>197</v>
      </c>
      <c r="J41" t="s">
        <v>101</v>
      </c>
      <c r="K41" t="s">
        <v>26</v>
      </c>
      <c r="L41" t="s">
        <v>183</v>
      </c>
      <c r="M41" t="s">
        <v>103</v>
      </c>
      <c r="N41">
        <v>77041</v>
      </c>
      <c r="O41" t="s">
        <v>104</v>
      </c>
      <c r="P41" t="s">
        <v>202</v>
      </c>
      <c r="Q41" t="s">
        <v>31</v>
      </c>
      <c r="R41" t="s">
        <v>35</v>
      </c>
      <c r="S41" t="s">
        <v>203</v>
      </c>
      <c r="T41">
        <v>212.05799999999999</v>
      </c>
      <c r="U41">
        <v>3</v>
      </c>
      <c r="V41">
        <v>0.3</v>
      </c>
      <c r="W41">
        <v>-15.147</v>
      </c>
    </row>
    <row r="42" spans="1:23" x14ac:dyDescent="0.35">
      <c r="A42" s="1">
        <v>41</v>
      </c>
      <c r="B42" t="s">
        <v>195</v>
      </c>
      <c r="C42" s="2">
        <v>42365</v>
      </c>
      <c r="D42" s="2">
        <v>42369</v>
      </c>
      <c r="E42" s="2" t="str">
        <f t="shared" si="0"/>
        <v>Dec</v>
      </c>
      <c r="F42" s="5">
        <f>YEAR(Table1[[#This Row],[Order Date]])</f>
        <v>2015</v>
      </c>
      <c r="G42" t="s">
        <v>49</v>
      </c>
      <c r="H42" t="s">
        <v>196</v>
      </c>
      <c r="I42" t="s">
        <v>197</v>
      </c>
      <c r="J42" t="s">
        <v>101</v>
      </c>
      <c r="K42" t="s">
        <v>26</v>
      </c>
      <c r="L42" t="s">
        <v>183</v>
      </c>
      <c r="M42" t="s">
        <v>103</v>
      </c>
      <c r="N42">
        <v>77041</v>
      </c>
      <c r="O42" t="s">
        <v>104</v>
      </c>
      <c r="P42" t="s">
        <v>204</v>
      </c>
      <c r="Q42" t="s">
        <v>70</v>
      </c>
      <c r="R42" t="s">
        <v>71</v>
      </c>
      <c r="S42" t="s">
        <v>205</v>
      </c>
      <c r="T42">
        <v>371.16800000000001</v>
      </c>
      <c r="U42">
        <v>4</v>
      </c>
      <c r="V42">
        <v>0.2</v>
      </c>
      <c r="W42">
        <v>41.756399999999999</v>
      </c>
    </row>
    <row r="43" spans="1:23" x14ac:dyDescent="0.35">
      <c r="A43" s="1">
        <v>42</v>
      </c>
      <c r="B43" t="s">
        <v>206</v>
      </c>
      <c r="C43" s="2">
        <v>42988</v>
      </c>
      <c r="D43" s="2">
        <v>42993</v>
      </c>
      <c r="E43" s="2" t="str">
        <f t="shared" si="0"/>
        <v>Sep</v>
      </c>
      <c r="F43" s="5">
        <f>YEAR(Table1[[#This Row],[Order Date]])</f>
        <v>2017</v>
      </c>
      <c r="G43" t="s">
        <v>49</v>
      </c>
      <c r="H43" t="s">
        <v>207</v>
      </c>
      <c r="I43" t="s">
        <v>208</v>
      </c>
      <c r="J43" t="s">
        <v>40</v>
      </c>
      <c r="K43" t="s">
        <v>26</v>
      </c>
      <c r="L43" t="s">
        <v>209</v>
      </c>
      <c r="M43" t="s">
        <v>210</v>
      </c>
      <c r="N43">
        <v>60540</v>
      </c>
      <c r="O43" t="s">
        <v>104</v>
      </c>
      <c r="P43" t="s">
        <v>211</v>
      </c>
      <c r="Q43" t="s">
        <v>70</v>
      </c>
      <c r="R43" t="s">
        <v>71</v>
      </c>
      <c r="S43" t="s">
        <v>212</v>
      </c>
      <c r="T43">
        <v>147.16800000000001</v>
      </c>
      <c r="U43">
        <v>4</v>
      </c>
      <c r="V43">
        <v>0.2</v>
      </c>
      <c r="W43">
        <v>16.5564</v>
      </c>
    </row>
    <row r="44" spans="1:23" x14ac:dyDescent="0.35">
      <c r="A44" s="1">
        <v>43</v>
      </c>
      <c r="B44" t="s">
        <v>213</v>
      </c>
      <c r="C44" s="2">
        <v>42568</v>
      </c>
      <c r="D44" s="2">
        <v>42573</v>
      </c>
      <c r="E44" s="2" t="str">
        <f t="shared" si="0"/>
        <v>Jul</v>
      </c>
      <c r="F44" s="5">
        <f>YEAR(Table1[[#This Row],[Order Date]])</f>
        <v>2016</v>
      </c>
      <c r="G44" t="s">
        <v>49</v>
      </c>
      <c r="H44" t="s">
        <v>214</v>
      </c>
      <c r="I44" t="s">
        <v>215</v>
      </c>
      <c r="J44" t="s">
        <v>40</v>
      </c>
      <c r="K44" t="s">
        <v>26</v>
      </c>
      <c r="L44" t="s">
        <v>41</v>
      </c>
      <c r="M44" t="s">
        <v>42</v>
      </c>
      <c r="N44">
        <v>90049</v>
      </c>
      <c r="O44" t="s">
        <v>43</v>
      </c>
      <c r="P44" t="s">
        <v>216</v>
      </c>
      <c r="Q44" t="s">
        <v>45</v>
      </c>
      <c r="R44" t="s">
        <v>58</v>
      </c>
      <c r="S44" t="s">
        <v>217</v>
      </c>
      <c r="T44">
        <v>77.88</v>
      </c>
      <c r="U44">
        <v>2</v>
      </c>
      <c r="V44">
        <v>0</v>
      </c>
      <c r="W44">
        <v>3.8940000000000001</v>
      </c>
    </row>
    <row r="45" spans="1:23" x14ac:dyDescent="0.35">
      <c r="A45" s="1">
        <v>44</v>
      </c>
      <c r="B45" t="s">
        <v>218</v>
      </c>
      <c r="C45" s="2">
        <v>42997</v>
      </c>
      <c r="D45" s="2">
        <v>43001</v>
      </c>
      <c r="E45" s="2" t="str">
        <f t="shared" si="0"/>
        <v>Sep</v>
      </c>
      <c r="F45" s="5">
        <f>YEAR(Table1[[#This Row],[Order Date]])</f>
        <v>2017</v>
      </c>
      <c r="G45" t="s">
        <v>49</v>
      </c>
      <c r="H45" t="s">
        <v>219</v>
      </c>
      <c r="I45" t="s">
        <v>220</v>
      </c>
      <c r="J45" t="s">
        <v>40</v>
      </c>
      <c r="K45" t="s">
        <v>26</v>
      </c>
      <c r="L45" t="s">
        <v>221</v>
      </c>
      <c r="M45" t="s">
        <v>53</v>
      </c>
      <c r="N45">
        <v>32935</v>
      </c>
      <c r="O45" t="s">
        <v>29</v>
      </c>
      <c r="P45" t="s">
        <v>222</v>
      </c>
      <c r="Q45" t="s">
        <v>45</v>
      </c>
      <c r="R45" t="s">
        <v>58</v>
      </c>
      <c r="S45" t="s">
        <v>223</v>
      </c>
      <c r="T45">
        <v>95.616</v>
      </c>
      <c r="U45">
        <v>2</v>
      </c>
      <c r="V45">
        <v>0.2</v>
      </c>
      <c r="W45">
        <v>9.5616000000000003</v>
      </c>
    </row>
    <row r="46" spans="1:23" x14ac:dyDescent="0.35">
      <c r="A46" s="1">
        <v>45</v>
      </c>
      <c r="B46" t="s">
        <v>224</v>
      </c>
      <c r="C46" s="2">
        <v>42440</v>
      </c>
      <c r="D46" s="2">
        <v>42442</v>
      </c>
      <c r="E46" s="2" t="str">
        <f t="shared" si="0"/>
        <v>Mar</v>
      </c>
      <c r="F46" s="5">
        <f>YEAR(Table1[[#This Row],[Order Date]])</f>
        <v>2016</v>
      </c>
      <c r="G46" t="s">
        <v>187</v>
      </c>
      <c r="H46" t="s">
        <v>225</v>
      </c>
      <c r="I46" t="s">
        <v>226</v>
      </c>
      <c r="J46" t="s">
        <v>40</v>
      </c>
      <c r="K46" t="s">
        <v>26</v>
      </c>
      <c r="L46" t="s">
        <v>227</v>
      </c>
      <c r="M46" t="s">
        <v>228</v>
      </c>
      <c r="N46">
        <v>55122</v>
      </c>
      <c r="O46" t="s">
        <v>104</v>
      </c>
      <c r="P46" t="s">
        <v>229</v>
      </c>
      <c r="Q46" t="s">
        <v>70</v>
      </c>
      <c r="R46" t="s">
        <v>160</v>
      </c>
      <c r="S46" t="s">
        <v>230</v>
      </c>
      <c r="T46">
        <v>45.98</v>
      </c>
      <c r="U46">
        <v>2</v>
      </c>
      <c r="V46">
        <v>0</v>
      </c>
      <c r="W46">
        <v>19.7714</v>
      </c>
    </row>
    <row r="47" spans="1:23" x14ac:dyDescent="0.35">
      <c r="A47" s="1">
        <v>46</v>
      </c>
      <c r="B47" t="s">
        <v>224</v>
      </c>
      <c r="C47" s="2">
        <v>42440</v>
      </c>
      <c r="D47" s="2">
        <v>42442</v>
      </c>
      <c r="E47" s="2" t="str">
        <f t="shared" si="0"/>
        <v>Mar</v>
      </c>
      <c r="F47" s="5">
        <f>YEAR(Table1[[#This Row],[Order Date]])</f>
        <v>2016</v>
      </c>
      <c r="G47" t="s">
        <v>187</v>
      </c>
      <c r="H47" t="s">
        <v>225</v>
      </c>
      <c r="I47" t="s">
        <v>226</v>
      </c>
      <c r="J47" t="s">
        <v>40</v>
      </c>
      <c r="K47" t="s">
        <v>26</v>
      </c>
      <c r="L47" t="s">
        <v>227</v>
      </c>
      <c r="M47" t="s">
        <v>228</v>
      </c>
      <c r="N47">
        <v>55122</v>
      </c>
      <c r="O47" t="s">
        <v>104</v>
      </c>
      <c r="P47" t="s">
        <v>231</v>
      </c>
      <c r="Q47" t="s">
        <v>45</v>
      </c>
      <c r="R47" t="s">
        <v>74</v>
      </c>
      <c r="S47" t="s">
        <v>232</v>
      </c>
      <c r="T47">
        <v>17.46</v>
      </c>
      <c r="U47">
        <v>2</v>
      </c>
      <c r="V47">
        <v>0</v>
      </c>
      <c r="W47">
        <v>8.2062000000000008</v>
      </c>
    </row>
    <row r="48" spans="1:23" x14ac:dyDescent="0.35">
      <c r="A48" s="1">
        <v>47</v>
      </c>
      <c r="B48" t="s">
        <v>233</v>
      </c>
      <c r="C48" s="2">
        <v>41932</v>
      </c>
      <c r="D48" s="2">
        <v>41937</v>
      </c>
      <c r="E48" s="2" t="str">
        <f t="shared" si="0"/>
        <v>Oct</v>
      </c>
      <c r="F48" s="5">
        <f>YEAR(Table1[[#This Row],[Order Date]])</f>
        <v>2014</v>
      </c>
      <c r="G48" t="s">
        <v>22</v>
      </c>
      <c r="H48" t="s">
        <v>234</v>
      </c>
      <c r="I48" t="s">
        <v>235</v>
      </c>
      <c r="J48" t="s">
        <v>25</v>
      </c>
      <c r="K48" t="s">
        <v>26</v>
      </c>
      <c r="L48" t="s">
        <v>236</v>
      </c>
      <c r="M48" t="s">
        <v>237</v>
      </c>
      <c r="N48">
        <v>48185</v>
      </c>
      <c r="O48" t="s">
        <v>104</v>
      </c>
      <c r="P48" t="s">
        <v>238</v>
      </c>
      <c r="Q48" t="s">
        <v>45</v>
      </c>
      <c r="R48" t="s">
        <v>58</v>
      </c>
      <c r="S48" t="s">
        <v>239</v>
      </c>
      <c r="T48">
        <v>211.96</v>
      </c>
      <c r="U48">
        <v>4</v>
      </c>
      <c r="V48">
        <v>0</v>
      </c>
      <c r="W48">
        <v>8.4784000000000006</v>
      </c>
    </row>
    <row r="49" spans="1:23" x14ac:dyDescent="0.35">
      <c r="A49" s="1">
        <v>48</v>
      </c>
      <c r="B49" t="s">
        <v>240</v>
      </c>
      <c r="C49" s="2">
        <v>42541</v>
      </c>
      <c r="D49" s="2">
        <v>42546</v>
      </c>
      <c r="E49" s="2" t="str">
        <f t="shared" si="0"/>
        <v>Jun</v>
      </c>
      <c r="F49" s="5">
        <f>YEAR(Table1[[#This Row],[Order Date]])</f>
        <v>2016</v>
      </c>
      <c r="G49" t="s">
        <v>49</v>
      </c>
      <c r="H49" t="s">
        <v>241</v>
      </c>
      <c r="I49" t="s">
        <v>242</v>
      </c>
      <c r="J49" t="s">
        <v>25</v>
      </c>
      <c r="K49" t="s">
        <v>26</v>
      </c>
      <c r="L49" t="s">
        <v>243</v>
      </c>
      <c r="M49" t="s">
        <v>244</v>
      </c>
      <c r="N49">
        <v>19901</v>
      </c>
      <c r="O49" t="s">
        <v>147</v>
      </c>
      <c r="P49" t="s">
        <v>245</v>
      </c>
      <c r="Q49" t="s">
        <v>70</v>
      </c>
      <c r="R49" t="s">
        <v>160</v>
      </c>
      <c r="S49" t="s">
        <v>246</v>
      </c>
      <c r="T49">
        <v>45</v>
      </c>
      <c r="U49">
        <v>3</v>
      </c>
      <c r="V49">
        <v>0</v>
      </c>
      <c r="W49">
        <v>4.95</v>
      </c>
    </row>
    <row r="50" spans="1:23" x14ac:dyDescent="0.35">
      <c r="A50" s="1">
        <v>49</v>
      </c>
      <c r="B50" t="s">
        <v>240</v>
      </c>
      <c r="C50" s="2">
        <v>42541</v>
      </c>
      <c r="D50" s="2">
        <v>42546</v>
      </c>
      <c r="E50" s="2" t="str">
        <f t="shared" si="0"/>
        <v>Jun</v>
      </c>
      <c r="F50" s="5">
        <f>YEAR(Table1[[#This Row],[Order Date]])</f>
        <v>2016</v>
      </c>
      <c r="G50" t="s">
        <v>49</v>
      </c>
      <c r="H50" t="s">
        <v>241</v>
      </c>
      <c r="I50" t="s">
        <v>242</v>
      </c>
      <c r="J50" t="s">
        <v>25</v>
      </c>
      <c r="K50" t="s">
        <v>26</v>
      </c>
      <c r="L50" t="s">
        <v>243</v>
      </c>
      <c r="M50" t="s">
        <v>244</v>
      </c>
      <c r="N50">
        <v>19901</v>
      </c>
      <c r="O50" t="s">
        <v>147</v>
      </c>
      <c r="P50" t="s">
        <v>247</v>
      </c>
      <c r="Q50" t="s">
        <v>70</v>
      </c>
      <c r="R50" t="s">
        <v>71</v>
      </c>
      <c r="S50" t="s">
        <v>248</v>
      </c>
      <c r="T50">
        <v>21.8</v>
      </c>
      <c r="U50">
        <v>2</v>
      </c>
      <c r="V50">
        <v>0</v>
      </c>
      <c r="W50">
        <v>6.1040000000000001</v>
      </c>
    </row>
    <row r="51" spans="1:23" x14ac:dyDescent="0.35">
      <c r="A51" s="1">
        <v>50</v>
      </c>
      <c r="B51" t="s">
        <v>249</v>
      </c>
      <c r="C51" s="2">
        <v>42112</v>
      </c>
      <c r="D51" s="2">
        <v>42116</v>
      </c>
      <c r="E51" s="2" t="str">
        <f t="shared" si="0"/>
        <v>Apr</v>
      </c>
      <c r="F51" s="5">
        <f>YEAR(Table1[[#This Row],[Order Date]])</f>
        <v>2015</v>
      </c>
      <c r="G51" t="s">
        <v>49</v>
      </c>
      <c r="H51" t="s">
        <v>250</v>
      </c>
      <c r="I51" t="s">
        <v>251</v>
      </c>
      <c r="J51" t="s">
        <v>25</v>
      </c>
      <c r="K51" t="s">
        <v>26</v>
      </c>
      <c r="L51" t="s">
        <v>252</v>
      </c>
      <c r="M51" t="s">
        <v>253</v>
      </c>
      <c r="N51">
        <v>47150</v>
      </c>
      <c r="O51" t="s">
        <v>104</v>
      </c>
      <c r="P51" t="s">
        <v>254</v>
      </c>
      <c r="Q51" t="s">
        <v>45</v>
      </c>
      <c r="R51" t="s">
        <v>74</v>
      </c>
      <c r="S51" t="s">
        <v>255</v>
      </c>
      <c r="T51">
        <v>38.22</v>
      </c>
      <c r="U51">
        <v>6</v>
      </c>
      <c r="V51">
        <v>0</v>
      </c>
      <c r="W51">
        <v>17.9634</v>
      </c>
    </row>
    <row r="52" spans="1:23" x14ac:dyDescent="0.35">
      <c r="A52" s="1">
        <v>51</v>
      </c>
      <c r="B52" t="s">
        <v>249</v>
      </c>
      <c r="C52" s="2">
        <v>42112</v>
      </c>
      <c r="D52" s="2">
        <v>42116</v>
      </c>
      <c r="E52" s="2" t="str">
        <f t="shared" si="0"/>
        <v>Apr</v>
      </c>
      <c r="F52" s="5">
        <f>YEAR(Table1[[#This Row],[Order Date]])</f>
        <v>2015</v>
      </c>
      <c r="G52" t="s">
        <v>49</v>
      </c>
      <c r="H52" t="s">
        <v>250</v>
      </c>
      <c r="I52" t="s">
        <v>251</v>
      </c>
      <c r="J52" t="s">
        <v>25</v>
      </c>
      <c r="K52" t="s">
        <v>26</v>
      </c>
      <c r="L52" t="s">
        <v>252</v>
      </c>
      <c r="M52" t="s">
        <v>253</v>
      </c>
      <c r="N52">
        <v>47150</v>
      </c>
      <c r="O52" t="s">
        <v>104</v>
      </c>
      <c r="P52" t="s">
        <v>256</v>
      </c>
      <c r="Q52" t="s">
        <v>45</v>
      </c>
      <c r="R52" t="s">
        <v>46</v>
      </c>
      <c r="S52" t="s">
        <v>257</v>
      </c>
      <c r="T52">
        <v>75.180000000000007</v>
      </c>
      <c r="U52">
        <v>6</v>
      </c>
      <c r="V52">
        <v>0</v>
      </c>
      <c r="W52">
        <v>35.334600000000002</v>
      </c>
    </row>
    <row r="53" spans="1:23" x14ac:dyDescent="0.35">
      <c r="A53" s="1">
        <v>52</v>
      </c>
      <c r="B53" t="s">
        <v>249</v>
      </c>
      <c r="C53" s="2">
        <v>42112</v>
      </c>
      <c r="D53" s="2">
        <v>42116</v>
      </c>
      <c r="E53" s="2" t="str">
        <f t="shared" si="0"/>
        <v>Apr</v>
      </c>
      <c r="F53" s="5">
        <f>YEAR(Table1[[#This Row],[Order Date]])</f>
        <v>2015</v>
      </c>
      <c r="G53" t="s">
        <v>49</v>
      </c>
      <c r="H53" t="s">
        <v>250</v>
      </c>
      <c r="I53" t="s">
        <v>251</v>
      </c>
      <c r="J53" t="s">
        <v>25</v>
      </c>
      <c r="K53" t="s">
        <v>26</v>
      </c>
      <c r="L53" t="s">
        <v>252</v>
      </c>
      <c r="M53" t="s">
        <v>253</v>
      </c>
      <c r="N53">
        <v>47150</v>
      </c>
      <c r="O53" t="s">
        <v>104</v>
      </c>
      <c r="P53" t="s">
        <v>258</v>
      </c>
      <c r="Q53" t="s">
        <v>31</v>
      </c>
      <c r="R53" t="s">
        <v>64</v>
      </c>
      <c r="S53" t="s">
        <v>259</v>
      </c>
      <c r="T53">
        <v>6.16</v>
      </c>
      <c r="U53">
        <v>2</v>
      </c>
      <c r="V53">
        <v>0</v>
      </c>
      <c r="W53">
        <v>2.9567999999999999</v>
      </c>
    </row>
    <row r="54" spans="1:23" x14ac:dyDescent="0.35">
      <c r="A54" s="1">
        <v>53</v>
      </c>
      <c r="B54" t="s">
        <v>249</v>
      </c>
      <c r="C54" s="2">
        <v>42112</v>
      </c>
      <c r="D54" s="2">
        <v>42116</v>
      </c>
      <c r="E54" s="2" t="str">
        <f t="shared" si="0"/>
        <v>Apr</v>
      </c>
      <c r="F54" s="5">
        <f>YEAR(Table1[[#This Row],[Order Date]])</f>
        <v>2015</v>
      </c>
      <c r="G54" t="s">
        <v>49</v>
      </c>
      <c r="H54" t="s">
        <v>250</v>
      </c>
      <c r="I54" t="s">
        <v>251</v>
      </c>
      <c r="J54" t="s">
        <v>25</v>
      </c>
      <c r="K54" t="s">
        <v>26</v>
      </c>
      <c r="L54" t="s">
        <v>252</v>
      </c>
      <c r="M54" t="s">
        <v>253</v>
      </c>
      <c r="N54">
        <v>47150</v>
      </c>
      <c r="O54" t="s">
        <v>104</v>
      </c>
      <c r="P54" t="s">
        <v>260</v>
      </c>
      <c r="Q54" t="s">
        <v>31</v>
      </c>
      <c r="R54" t="s">
        <v>35</v>
      </c>
      <c r="S54" t="s">
        <v>261</v>
      </c>
      <c r="T54">
        <v>89.99</v>
      </c>
      <c r="U54">
        <v>1</v>
      </c>
      <c r="V54">
        <v>0</v>
      </c>
      <c r="W54">
        <v>17.098099999999999</v>
      </c>
    </row>
    <row r="55" spans="1:23" x14ac:dyDescent="0.35">
      <c r="A55" s="1">
        <v>54</v>
      </c>
      <c r="B55" t="s">
        <v>262</v>
      </c>
      <c r="C55" s="2">
        <v>42715</v>
      </c>
      <c r="D55" s="2">
        <v>42721</v>
      </c>
      <c r="E55" s="2" t="str">
        <f t="shared" si="0"/>
        <v>Dec</v>
      </c>
      <c r="F55" s="5">
        <f>YEAR(Table1[[#This Row],[Order Date]])</f>
        <v>2016</v>
      </c>
      <c r="G55" t="s">
        <v>49</v>
      </c>
      <c r="H55" t="s">
        <v>263</v>
      </c>
      <c r="I55" t="s">
        <v>264</v>
      </c>
      <c r="J55" t="s">
        <v>40</v>
      </c>
      <c r="K55" t="s">
        <v>26</v>
      </c>
      <c r="L55" t="s">
        <v>265</v>
      </c>
      <c r="M55" t="s">
        <v>266</v>
      </c>
      <c r="N55">
        <v>10024</v>
      </c>
      <c r="O55" t="s">
        <v>147</v>
      </c>
      <c r="P55" t="s">
        <v>267</v>
      </c>
      <c r="Q55" t="s">
        <v>45</v>
      </c>
      <c r="R55" t="s">
        <v>268</v>
      </c>
      <c r="S55" t="s">
        <v>269</v>
      </c>
      <c r="T55">
        <v>15.26</v>
      </c>
      <c r="U55">
        <v>7</v>
      </c>
      <c r="V55">
        <v>0</v>
      </c>
      <c r="W55">
        <v>6.2565999999999997</v>
      </c>
    </row>
    <row r="56" spans="1:23" x14ac:dyDescent="0.35">
      <c r="A56" s="1">
        <v>55</v>
      </c>
      <c r="B56" t="s">
        <v>262</v>
      </c>
      <c r="C56" s="2">
        <v>42715</v>
      </c>
      <c r="D56" s="2">
        <v>42721</v>
      </c>
      <c r="E56" s="2" t="str">
        <f t="shared" si="0"/>
        <v>Dec</v>
      </c>
      <c r="F56" s="5">
        <f>YEAR(Table1[[#This Row],[Order Date]])</f>
        <v>2016</v>
      </c>
      <c r="G56" t="s">
        <v>49</v>
      </c>
      <c r="H56" t="s">
        <v>263</v>
      </c>
      <c r="I56" t="s">
        <v>264</v>
      </c>
      <c r="J56" t="s">
        <v>40</v>
      </c>
      <c r="K56" t="s">
        <v>26</v>
      </c>
      <c r="L56" t="s">
        <v>265</v>
      </c>
      <c r="M56" t="s">
        <v>266</v>
      </c>
      <c r="N56">
        <v>10024</v>
      </c>
      <c r="O56" t="s">
        <v>147</v>
      </c>
      <c r="P56" t="s">
        <v>270</v>
      </c>
      <c r="Q56" t="s">
        <v>70</v>
      </c>
      <c r="R56" t="s">
        <v>71</v>
      </c>
      <c r="S56" t="s">
        <v>271</v>
      </c>
      <c r="T56">
        <v>1029.95</v>
      </c>
      <c r="U56">
        <v>5</v>
      </c>
      <c r="V56">
        <v>0</v>
      </c>
      <c r="W56">
        <v>298.68549999999999</v>
      </c>
    </row>
    <row r="57" spans="1:23" x14ac:dyDescent="0.35">
      <c r="A57" s="1">
        <v>56</v>
      </c>
      <c r="B57" t="s">
        <v>272</v>
      </c>
      <c r="C57" s="2">
        <v>42538</v>
      </c>
      <c r="D57" s="2">
        <v>42539</v>
      </c>
      <c r="E57" s="2" t="str">
        <f t="shared" si="0"/>
        <v>Jun</v>
      </c>
      <c r="F57" s="5">
        <f>YEAR(Table1[[#This Row],[Order Date]])</f>
        <v>2016</v>
      </c>
      <c r="G57" t="s">
        <v>187</v>
      </c>
      <c r="H57" t="s">
        <v>273</v>
      </c>
      <c r="I57" t="s">
        <v>274</v>
      </c>
      <c r="J57" t="s">
        <v>25</v>
      </c>
      <c r="K57" t="s">
        <v>26</v>
      </c>
      <c r="L57" t="s">
        <v>275</v>
      </c>
      <c r="M57" t="s">
        <v>266</v>
      </c>
      <c r="N57">
        <v>12180</v>
      </c>
      <c r="O57" t="s">
        <v>147</v>
      </c>
      <c r="P57" t="s">
        <v>276</v>
      </c>
      <c r="Q57" t="s">
        <v>45</v>
      </c>
      <c r="R57" t="s">
        <v>58</v>
      </c>
      <c r="S57" t="s">
        <v>277</v>
      </c>
      <c r="T57">
        <v>208.56</v>
      </c>
      <c r="U57">
        <v>6</v>
      </c>
      <c r="V57">
        <v>0</v>
      </c>
      <c r="W57">
        <v>52.14</v>
      </c>
    </row>
    <row r="58" spans="1:23" x14ac:dyDescent="0.35">
      <c r="A58" s="1">
        <v>57</v>
      </c>
      <c r="B58" t="s">
        <v>272</v>
      </c>
      <c r="C58" s="2">
        <v>42538</v>
      </c>
      <c r="D58" s="2">
        <v>42539</v>
      </c>
      <c r="E58" s="2" t="str">
        <f t="shared" si="0"/>
        <v>Jun</v>
      </c>
      <c r="F58" s="5">
        <f>YEAR(Table1[[#This Row],[Order Date]])</f>
        <v>2016</v>
      </c>
      <c r="G58" t="s">
        <v>187</v>
      </c>
      <c r="H58" t="s">
        <v>273</v>
      </c>
      <c r="I58" t="s">
        <v>274</v>
      </c>
      <c r="J58" t="s">
        <v>25</v>
      </c>
      <c r="K58" t="s">
        <v>26</v>
      </c>
      <c r="L58" t="s">
        <v>275</v>
      </c>
      <c r="M58" t="s">
        <v>266</v>
      </c>
      <c r="N58">
        <v>12180</v>
      </c>
      <c r="O58" t="s">
        <v>147</v>
      </c>
      <c r="P58" t="s">
        <v>278</v>
      </c>
      <c r="Q58" t="s">
        <v>45</v>
      </c>
      <c r="R58" t="s">
        <v>89</v>
      </c>
      <c r="S58" t="s">
        <v>279</v>
      </c>
      <c r="T58">
        <v>32.4</v>
      </c>
      <c r="U58">
        <v>5</v>
      </c>
      <c r="V58">
        <v>0</v>
      </c>
      <c r="W58">
        <v>15.552</v>
      </c>
    </row>
    <row r="59" spans="1:23" x14ac:dyDescent="0.35">
      <c r="A59" s="1">
        <v>58</v>
      </c>
      <c r="B59" t="s">
        <v>272</v>
      </c>
      <c r="C59" s="2">
        <v>42538</v>
      </c>
      <c r="D59" s="2">
        <v>42539</v>
      </c>
      <c r="E59" s="2" t="str">
        <f t="shared" si="0"/>
        <v>Jun</v>
      </c>
      <c r="F59" s="5">
        <f>YEAR(Table1[[#This Row],[Order Date]])</f>
        <v>2016</v>
      </c>
      <c r="G59" t="s">
        <v>187</v>
      </c>
      <c r="H59" t="s">
        <v>273</v>
      </c>
      <c r="I59" t="s">
        <v>274</v>
      </c>
      <c r="J59" t="s">
        <v>25</v>
      </c>
      <c r="K59" t="s">
        <v>26</v>
      </c>
      <c r="L59" t="s">
        <v>275</v>
      </c>
      <c r="M59" t="s">
        <v>266</v>
      </c>
      <c r="N59">
        <v>12180</v>
      </c>
      <c r="O59" t="s">
        <v>147</v>
      </c>
      <c r="P59" t="s">
        <v>280</v>
      </c>
      <c r="Q59" t="s">
        <v>31</v>
      </c>
      <c r="R59" t="s">
        <v>35</v>
      </c>
      <c r="S59" t="s">
        <v>281</v>
      </c>
      <c r="T59">
        <v>319.41000000000003</v>
      </c>
      <c r="U59">
        <v>5</v>
      </c>
      <c r="V59">
        <v>0.1</v>
      </c>
      <c r="W59">
        <v>7.0979999999999999</v>
      </c>
    </row>
    <row r="60" spans="1:23" x14ac:dyDescent="0.35">
      <c r="A60" s="1">
        <v>59</v>
      </c>
      <c r="B60" t="s">
        <v>272</v>
      </c>
      <c r="C60" s="2">
        <v>42538</v>
      </c>
      <c r="D60" s="2">
        <v>42539</v>
      </c>
      <c r="E60" s="2" t="str">
        <f t="shared" si="0"/>
        <v>Jun</v>
      </c>
      <c r="F60" s="5">
        <f>YEAR(Table1[[#This Row],[Order Date]])</f>
        <v>2016</v>
      </c>
      <c r="G60" t="s">
        <v>187</v>
      </c>
      <c r="H60" t="s">
        <v>273</v>
      </c>
      <c r="I60" t="s">
        <v>274</v>
      </c>
      <c r="J60" t="s">
        <v>25</v>
      </c>
      <c r="K60" t="s">
        <v>26</v>
      </c>
      <c r="L60" t="s">
        <v>275</v>
      </c>
      <c r="M60" t="s">
        <v>266</v>
      </c>
      <c r="N60">
        <v>12180</v>
      </c>
      <c r="O60" t="s">
        <v>147</v>
      </c>
      <c r="P60" t="s">
        <v>282</v>
      </c>
      <c r="Q60" t="s">
        <v>45</v>
      </c>
      <c r="R60" t="s">
        <v>89</v>
      </c>
      <c r="S60" t="s">
        <v>283</v>
      </c>
      <c r="T60">
        <v>14.56</v>
      </c>
      <c r="U60">
        <v>2</v>
      </c>
      <c r="V60">
        <v>0</v>
      </c>
      <c r="W60">
        <v>6.9888000000000003</v>
      </c>
    </row>
    <row r="61" spans="1:23" x14ac:dyDescent="0.35">
      <c r="A61" s="1">
        <v>60</v>
      </c>
      <c r="B61" t="s">
        <v>272</v>
      </c>
      <c r="C61" s="2">
        <v>42538</v>
      </c>
      <c r="D61" s="2">
        <v>42539</v>
      </c>
      <c r="E61" s="2" t="str">
        <f t="shared" si="0"/>
        <v>Jun</v>
      </c>
      <c r="F61" s="5">
        <f>YEAR(Table1[[#This Row],[Order Date]])</f>
        <v>2016</v>
      </c>
      <c r="G61" t="s">
        <v>187</v>
      </c>
      <c r="H61" t="s">
        <v>273</v>
      </c>
      <c r="I61" t="s">
        <v>274</v>
      </c>
      <c r="J61" t="s">
        <v>25</v>
      </c>
      <c r="K61" t="s">
        <v>26</v>
      </c>
      <c r="L61" t="s">
        <v>275</v>
      </c>
      <c r="M61" t="s">
        <v>266</v>
      </c>
      <c r="N61">
        <v>12180</v>
      </c>
      <c r="O61" t="s">
        <v>147</v>
      </c>
      <c r="P61" t="s">
        <v>245</v>
      </c>
      <c r="Q61" t="s">
        <v>70</v>
      </c>
      <c r="R61" t="s">
        <v>160</v>
      </c>
      <c r="S61" t="s">
        <v>246</v>
      </c>
      <c r="T61">
        <v>30</v>
      </c>
      <c r="U61">
        <v>2</v>
      </c>
      <c r="V61">
        <v>0</v>
      </c>
      <c r="W61">
        <v>3.3</v>
      </c>
    </row>
    <row r="62" spans="1:23" x14ac:dyDescent="0.35">
      <c r="A62" s="1">
        <v>61</v>
      </c>
      <c r="B62" t="s">
        <v>272</v>
      </c>
      <c r="C62" s="2">
        <v>42538</v>
      </c>
      <c r="D62" s="2">
        <v>42539</v>
      </c>
      <c r="E62" s="2" t="str">
        <f t="shared" si="0"/>
        <v>Jun</v>
      </c>
      <c r="F62" s="5">
        <f>YEAR(Table1[[#This Row],[Order Date]])</f>
        <v>2016</v>
      </c>
      <c r="G62" t="s">
        <v>187</v>
      </c>
      <c r="H62" t="s">
        <v>273</v>
      </c>
      <c r="I62" t="s">
        <v>274</v>
      </c>
      <c r="J62" t="s">
        <v>25</v>
      </c>
      <c r="K62" t="s">
        <v>26</v>
      </c>
      <c r="L62" t="s">
        <v>275</v>
      </c>
      <c r="M62" t="s">
        <v>266</v>
      </c>
      <c r="N62">
        <v>12180</v>
      </c>
      <c r="O62" t="s">
        <v>147</v>
      </c>
      <c r="P62" t="s">
        <v>284</v>
      </c>
      <c r="Q62" t="s">
        <v>45</v>
      </c>
      <c r="R62" t="s">
        <v>74</v>
      </c>
      <c r="S62" t="s">
        <v>285</v>
      </c>
      <c r="T62">
        <v>48.48</v>
      </c>
      <c r="U62">
        <v>4</v>
      </c>
      <c r="V62">
        <v>0.2</v>
      </c>
      <c r="W62">
        <v>16.361999999999998</v>
      </c>
    </row>
    <row r="63" spans="1:23" x14ac:dyDescent="0.35">
      <c r="A63" s="1">
        <v>62</v>
      </c>
      <c r="B63" t="s">
        <v>272</v>
      </c>
      <c r="C63" s="2">
        <v>42538</v>
      </c>
      <c r="D63" s="2">
        <v>42539</v>
      </c>
      <c r="E63" s="2" t="str">
        <f t="shared" si="0"/>
        <v>Jun</v>
      </c>
      <c r="F63" s="5">
        <f>YEAR(Table1[[#This Row],[Order Date]])</f>
        <v>2016</v>
      </c>
      <c r="G63" t="s">
        <v>187</v>
      </c>
      <c r="H63" t="s">
        <v>273</v>
      </c>
      <c r="I63" t="s">
        <v>274</v>
      </c>
      <c r="J63" t="s">
        <v>25</v>
      </c>
      <c r="K63" t="s">
        <v>26</v>
      </c>
      <c r="L63" t="s">
        <v>275</v>
      </c>
      <c r="M63" t="s">
        <v>266</v>
      </c>
      <c r="N63">
        <v>12180</v>
      </c>
      <c r="O63" t="s">
        <v>147</v>
      </c>
      <c r="P63" t="s">
        <v>286</v>
      </c>
      <c r="Q63" t="s">
        <v>45</v>
      </c>
      <c r="R63" t="s">
        <v>67</v>
      </c>
      <c r="S63" t="s">
        <v>287</v>
      </c>
      <c r="T63">
        <v>1.68</v>
      </c>
      <c r="U63">
        <v>1</v>
      </c>
      <c r="V63">
        <v>0</v>
      </c>
      <c r="W63">
        <v>0.84</v>
      </c>
    </row>
    <row r="64" spans="1:23" x14ac:dyDescent="0.35">
      <c r="A64" s="1">
        <v>63</v>
      </c>
      <c r="B64" t="s">
        <v>288</v>
      </c>
      <c r="C64" s="2">
        <v>42332</v>
      </c>
      <c r="D64" s="2">
        <v>42338</v>
      </c>
      <c r="E64" s="2" t="str">
        <f t="shared" si="0"/>
        <v>Nov</v>
      </c>
      <c r="F64" s="5">
        <f>YEAR(Table1[[#This Row],[Order Date]])</f>
        <v>2015</v>
      </c>
      <c r="G64" t="s">
        <v>49</v>
      </c>
      <c r="H64" t="s">
        <v>289</v>
      </c>
      <c r="I64" t="s">
        <v>290</v>
      </c>
      <c r="J64" t="s">
        <v>25</v>
      </c>
      <c r="K64" t="s">
        <v>26</v>
      </c>
      <c r="L64" t="s">
        <v>41</v>
      </c>
      <c r="M64" t="s">
        <v>42</v>
      </c>
      <c r="N64">
        <v>90004</v>
      </c>
      <c r="O64" t="s">
        <v>43</v>
      </c>
      <c r="P64" t="s">
        <v>291</v>
      </c>
      <c r="Q64" t="s">
        <v>70</v>
      </c>
      <c r="R64" t="s">
        <v>160</v>
      </c>
      <c r="S64" t="s">
        <v>292</v>
      </c>
      <c r="T64">
        <v>13.98</v>
      </c>
      <c r="U64">
        <v>2</v>
      </c>
      <c r="V64">
        <v>0</v>
      </c>
      <c r="W64">
        <v>6.1512000000000002</v>
      </c>
    </row>
    <row r="65" spans="1:23" x14ac:dyDescent="0.35">
      <c r="A65" s="1">
        <v>64</v>
      </c>
      <c r="B65" t="s">
        <v>288</v>
      </c>
      <c r="C65" s="2">
        <v>42332</v>
      </c>
      <c r="D65" s="2">
        <v>42338</v>
      </c>
      <c r="E65" s="2" t="str">
        <f t="shared" si="0"/>
        <v>Nov</v>
      </c>
      <c r="F65" s="5">
        <f>YEAR(Table1[[#This Row],[Order Date]])</f>
        <v>2015</v>
      </c>
      <c r="G65" t="s">
        <v>49</v>
      </c>
      <c r="H65" t="s">
        <v>289</v>
      </c>
      <c r="I65" t="s">
        <v>290</v>
      </c>
      <c r="J65" t="s">
        <v>25</v>
      </c>
      <c r="K65" t="s">
        <v>26</v>
      </c>
      <c r="L65" t="s">
        <v>41</v>
      </c>
      <c r="M65" t="s">
        <v>42</v>
      </c>
      <c r="N65">
        <v>90004</v>
      </c>
      <c r="O65" t="s">
        <v>43</v>
      </c>
      <c r="P65" t="s">
        <v>293</v>
      </c>
      <c r="Q65" t="s">
        <v>45</v>
      </c>
      <c r="R65" t="s">
        <v>74</v>
      </c>
      <c r="S65" t="s">
        <v>294</v>
      </c>
      <c r="T65">
        <v>25.824000000000002</v>
      </c>
      <c r="U65">
        <v>6</v>
      </c>
      <c r="V65">
        <v>0.2</v>
      </c>
      <c r="W65">
        <v>9.3612000000000002</v>
      </c>
    </row>
    <row r="66" spans="1:23" x14ac:dyDescent="0.35">
      <c r="A66" s="1">
        <v>65</v>
      </c>
      <c r="B66" t="s">
        <v>288</v>
      </c>
      <c r="C66" s="2">
        <v>42332</v>
      </c>
      <c r="D66" s="2">
        <v>42338</v>
      </c>
      <c r="E66" s="2" t="str">
        <f t="shared" ref="E66:E129" si="1">TEXT(C66,"mmm")</f>
        <v>Nov</v>
      </c>
      <c r="F66" s="5">
        <f>YEAR(Table1[[#This Row],[Order Date]])</f>
        <v>2015</v>
      </c>
      <c r="G66" t="s">
        <v>49</v>
      </c>
      <c r="H66" t="s">
        <v>289</v>
      </c>
      <c r="I66" t="s">
        <v>290</v>
      </c>
      <c r="J66" t="s">
        <v>25</v>
      </c>
      <c r="K66" t="s">
        <v>26</v>
      </c>
      <c r="L66" t="s">
        <v>41</v>
      </c>
      <c r="M66" t="s">
        <v>42</v>
      </c>
      <c r="N66">
        <v>90004</v>
      </c>
      <c r="O66" t="s">
        <v>43</v>
      </c>
      <c r="P66" t="s">
        <v>295</v>
      </c>
      <c r="Q66" t="s">
        <v>45</v>
      </c>
      <c r="R66" t="s">
        <v>89</v>
      </c>
      <c r="S66" t="s">
        <v>296</v>
      </c>
      <c r="T66">
        <v>146.72999999999999</v>
      </c>
      <c r="U66">
        <v>3</v>
      </c>
      <c r="V66">
        <v>0</v>
      </c>
      <c r="W66">
        <v>68.963099999999997</v>
      </c>
    </row>
    <row r="67" spans="1:23" x14ac:dyDescent="0.35">
      <c r="A67" s="1">
        <v>66</v>
      </c>
      <c r="B67" t="s">
        <v>288</v>
      </c>
      <c r="C67" s="2">
        <v>42332</v>
      </c>
      <c r="D67" s="2">
        <v>42338</v>
      </c>
      <c r="E67" s="2" t="str">
        <f t="shared" si="1"/>
        <v>Nov</v>
      </c>
      <c r="F67" s="5">
        <f>YEAR(Table1[[#This Row],[Order Date]])</f>
        <v>2015</v>
      </c>
      <c r="G67" t="s">
        <v>49</v>
      </c>
      <c r="H67" t="s">
        <v>289</v>
      </c>
      <c r="I67" t="s">
        <v>290</v>
      </c>
      <c r="J67" t="s">
        <v>25</v>
      </c>
      <c r="K67" t="s">
        <v>26</v>
      </c>
      <c r="L67" t="s">
        <v>41</v>
      </c>
      <c r="M67" t="s">
        <v>42</v>
      </c>
      <c r="N67">
        <v>90004</v>
      </c>
      <c r="O67" t="s">
        <v>43</v>
      </c>
      <c r="P67" t="s">
        <v>297</v>
      </c>
      <c r="Q67" t="s">
        <v>31</v>
      </c>
      <c r="R67" t="s">
        <v>64</v>
      </c>
      <c r="S67" t="s">
        <v>298</v>
      </c>
      <c r="T67">
        <v>79.760000000000005</v>
      </c>
      <c r="U67">
        <v>4</v>
      </c>
      <c r="V67">
        <v>0</v>
      </c>
      <c r="W67">
        <v>22.332799999999999</v>
      </c>
    </row>
    <row r="68" spans="1:23" x14ac:dyDescent="0.35">
      <c r="A68" s="1">
        <v>67</v>
      </c>
      <c r="B68" t="s">
        <v>299</v>
      </c>
      <c r="C68" s="2">
        <v>42124</v>
      </c>
      <c r="D68" s="2">
        <v>42129</v>
      </c>
      <c r="E68" s="2" t="str">
        <f t="shared" si="1"/>
        <v>Apr</v>
      </c>
      <c r="F68" s="5">
        <f>YEAR(Table1[[#This Row],[Order Date]])</f>
        <v>2015</v>
      </c>
      <c r="G68" t="s">
        <v>49</v>
      </c>
      <c r="H68" t="s">
        <v>300</v>
      </c>
      <c r="I68" t="s">
        <v>301</v>
      </c>
      <c r="J68" t="s">
        <v>101</v>
      </c>
      <c r="K68" t="s">
        <v>26</v>
      </c>
      <c r="L68" t="s">
        <v>302</v>
      </c>
      <c r="M68" t="s">
        <v>210</v>
      </c>
      <c r="N68">
        <v>60610</v>
      </c>
      <c r="O68" t="s">
        <v>104</v>
      </c>
      <c r="P68" t="s">
        <v>303</v>
      </c>
      <c r="Q68" t="s">
        <v>31</v>
      </c>
      <c r="R68" t="s">
        <v>35</v>
      </c>
      <c r="S68" t="s">
        <v>304</v>
      </c>
      <c r="T68">
        <v>213.11500000000001</v>
      </c>
      <c r="U68">
        <v>5</v>
      </c>
      <c r="V68">
        <v>0.3</v>
      </c>
      <c r="W68">
        <v>-15.2225</v>
      </c>
    </row>
    <row r="69" spans="1:23" x14ac:dyDescent="0.35">
      <c r="A69" s="1">
        <v>68</v>
      </c>
      <c r="B69" t="s">
        <v>305</v>
      </c>
      <c r="C69" s="2">
        <v>41978</v>
      </c>
      <c r="D69" s="2">
        <v>41983</v>
      </c>
      <c r="E69" s="2" t="str">
        <f t="shared" si="1"/>
        <v>Dec</v>
      </c>
      <c r="F69" s="5">
        <f>YEAR(Table1[[#This Row],[Order Date]])</f>
        <v>2014</v>
      </c>
      <c r="G69" t="s">
        <v>49</v>
      </c>
      <c r="H69" t="s">
        <v>306</v>
      </c>
      <c r="I69" t="s">
        <v>307</v>
      </c>
      <c r="J69" t="s">
        <v>40</v>
      </c>
      <c r="K69" t="s">
        <v>26</v>
      </c>
      <c r="L69" t="s">
        <v>308</v>
      </c>
      <c r="M69" t="s">
        <v>309</v>
      </c>
      <c r="N69">
        <v>85234</v>
      </c>
      <c r="O69" t="s">
        <v>43</v>
      </c>
      <c r="P69" t="s">
        <v>310</v>
      </c>
      <c r="Q69" t="s">
        <v>45</v>
      </c>
      <c r="R69" t="s">
        <v>67</v>
      </c>
      <c r="S69" t="s">
        <v>311</v>
      </c>
      <c r="T69">
        <v>1113.0239999999999</v>
      </c>
      <c r="U69">
        <v>8</v>
      </c>
      <c r="V69">
        <v>0.2</v>
      </c>
      <c r="W69">
        <v>111.30240000000001</v>
      </c>
    </row>
    <row r="70" spans="1:23" x14ac:dyDescent="0.35">
      <c r="A70" s="1">
        <v>69</v>
      </c>
      <c r="B70" t="s">
        <v>305</v>
      </c>
      <c r="C70" s="2">
        <v>41978</v>
      </c>
      <c r="D70" s="2">
        <v>41983</v>
      </c>
      <c r="E70" s="2" t="str">
        <f t="shared" si="1"/>
        <v>Dec</v>
      </c>
      <c r="F70" s="5">
        <f>YEAR(Table1[[#This Row],[Order Date]])</f>
        <v>2014</v>
      </c>
      <c r="G70" t="s">
        <v>49</v>
      </c>
      <c r="H70" t="s">
        <v>306</v>
      </c>
      <c r="I70" t="s">
        <v>307</v>
      </c>
      <c r="J70" t="s">
        <v>40</v>
      </c>
      <c r="K70" t="s">
        <v>26</v>
      </c>
      <c r="L70" t="s">
        <v>308</v>
      </c>
      <c r="M70" t="s">
        <v>309</v>
      </c>
      <c r="N70">
        <v>85234</v>
      </c>
      <c r="O70" t="s">
        <v>43</v>
      </c>
      <c r="P70" t="s">
        <v>312</v>
      </c>
      <c r="Q70" t="s">
        <v>70</v>
      </c>
      <c r="R70" t="s">
        <v>71</v>
      </c>
      <c r="S70" t="s">
        <v>313</v>
      </c>
      <c r="T70">
        <v>167.96799999999999</v>
      </c>
      <c r="U70">
        <v>4</v>
      </c>
      <c r="V70">
        <v>0.2</v>
      </c>
      <c r="W70">
        <v>62.988</v>
      </c>
    </row>
    <row r="71" spans="1:23" x14ac:dyDescent="0.35">
      <c r="A71" s="1">
        <v>70</v>
      </c>
      <c r="B71" t="s">
        <v>314</v>
      </c>
      <c r="C71" s="2">
        <v>42525</v>
      </c>
      <c r="D71" s="2">
        <v>42527</v>
      </c>
      <c r="E71" s="2" t="str">
        <f t="shared" si="1"/>
        <v>Jun</v>
      </c>
      <c r="F71" s="5">
        <f>YEAR(Table1[[#This Row],[Order Date]])</f>
        <v>2016</v>
      </c>
      <c r="G71" t="s">
        <v>187</v>
      </c>
      <c r="H71" t="s">
        <v>315</v>
      </c>
      <c r="I71" t="s">
        <v>316</v>
      </c>
      <c r="J71" t="s">
        <v>25</v>
      </c>
      <c r="K71" t="s">
        <v>26</v>
      </c>
      <c r="L71" t="s">
        <v>317</v>
      </c>
      <c r="M71" t="s">
        <v>318</v>
      </c>
      <c r="N71">
        <v>22153</v>
      </c>
      <c r="O71" t="s">
        <v>29</v>
      </c>
      <c r="P71" t="s">
        <v>319</v>
      </c>
      <c r="Q71" t="s">
        <v>45</v>
      </c>
      <c r="R71" t="s">
        <v>89</v>
      </c>
      <c r="S71" t="s">
        <v>320</v>
      </c>
      <c r="T71">
        <v>75.88</v>
      </c>
      <c r="U71">
        <v>2</v>
      </c>
      <c r="V71">
        <v>0</v>
      </c>
      <c r="W71">
        <v>35.663600000000002</v>
      </c>
    </row>
    <row r="72" spans="1:23" x14ac:dyDescent="0.35">
      <c r="A72" s="1">
        <v>71</v>
      </c>
      <c r="B72" t="s">
        <v>321</v>
      </c>
      <c r="C72" s="2">
        <v>42631</v>
      </c>
      <c r="D72" s="2">
        <v>42636</v>
      </c>
      <c r="E72" s="2" t="str">
        <f t="shared" si="1"/>
        <v>Sep</v>
      </c>
      <c r="F72" s="5">
        <f>YEAR(Table1[[#This Row],[Order Date]])</f>
        <v>2016</v>
      </c>
      <c r="G72" t="s">
        <v>49</v>
      </c>
      <c r="H72" t="s">
        <v>322</v>
      </c>
      <c r="I72" t="s">
        <v>323</v>
      </c>
      <c r="J72" t="s">
        <v>25</v>
      </c>
      <c r="K72" t="s">
        <v>26</v>
      </c>
      <c r="L72" t="s">
        <v>265</v>
      </c>
      <c r="M72" t="s">
        <v>266</v>
      </c>
      <c r="N72">
        <v>10009</v>
      </c>
      <c r="O72" t="s">
        <v>147</v>
      </c>
      <c r="P72" t="s">
        <v>324</v>
      </c>
      <c r="Q72" t="s">
        <v>45</v>
      </c>
      <c r="R72" t="s">
        <v>74</v>
      </c>
      <c r="S72" t="s">
        <v>325</v>
      </c>
      <c r="T72">
        <v>4.6159999999999997</v>
      </c>
      <c r="U72">
        <v>1</v>
      </c>
      <c r="V72">
        <v>0.2</v>
      </c>
      <c r="W72">
        <v>1.7310000000000001</v>
      </c>
    </row>
    <row r="73" spans="1:23" x14ac:dyDescent="0.35">
      <c r="A73" s="1">
        <v>72</v>
      </c>
      <c r="B73" t="s">
        <v>326</v>
      </c>
      <c r="C73" s="2">
        <v>42992</v>
      </c>
      <c r="D73" s="2">
        <v>42995</v>
      </c>
      <c r="E73" s="2" t="str">
        <f t="shared" si="1"/>
        <v>Sep</v>
      </c>
      <c r="F73" s="5">
        <f>YEAR(Table1[[#This Row],[Order Date]])</f>
        <v>2017</v>
      </c>
      <c r="G73" t="s">
        <v>22</v>
      </c>
      <c r="H73" t="s">
        <v>163</v>
      </c>
      <c r="I73" t="s">
        <v>164</v>
      </c>
      <c r="J73" t="s">
        <v>25</v>
      </c>
      <c r="K73" t="s">
        <v>26</v>
      </c>
      <c r="L73" t="s">
        <v>327</v>
      </c>
      <c r="M73" t="s">
        <v>237</v>
      </c>
      <c r="N73">
        <v>49201</v>
      </c>
      <c r="O73" t="s">
        <v>104</v>
      </c>
      <c r="P73" t="s">
        <v>328</v>
      </c>
      <c r="Q73" t="s">
        <v>45</v>
      </c>
      <c r="R73" t="s">
        <v>89</v>
      </c>
      <c r="S73" t="s">
        <v>329</v>
      </c>
      <c r="T73">
        <v>19.05</v>
      </c>
      <c r="U73">
        <v>3</v>
      </c>
      <c r="V73">
        <v>0</v>
      </c>
      <c r="W73">
        <v>8.7629999999999999</v>
      </c>
    </row>
    <row r="74" spans="1:23" x14ac:dyDescent="0.35">
      <c r="A74" s="1">
        <v>73</v>
      </c>
      <c r="B74" t="s">
        <v>330</v>
      </c>
      <c r="C74" s="2">
        <v>42120</v>
      </c>
      <c r="D74" s="2">
        <v>42126</v>
      </c>
      <c r="E74" s="2" t="str">
        <f t="shared" si="1"/>
        <v>Apr</v>
      </c>
      <c r="F74" s="5">
        <f>YEAR(Table1[[#This Row],[Order Date]])</f>
        <v>2015</v>
      </c>
      <c r="G74" t="s">
        <v>49</v>
      </c>
      <c r="H74" t="s">
        <v>331</v>
      </c>
      <c r="I74" t="s">
        <v>332</v>
      </c>
      <c r="J74" t="s">
        <v>25</v>
      </c>
      <c r="K74" t="s">
        <v>26</v>
      </c>
      <c r="L74" t="s">
        <v>333</v>
      </c>
      <c r="M74" t="s">
        <v>334</v>
      </c>
      <c r="N74">
        <v>38109</v>
      </c>
      <c r="O74" t="s">
        <v>29</v>
      </c>
      <c r="P74" t="s">
        <v>335</v>
      </c>
      <c r="Q74" t="s">
        <v>31</v>
      </c>
      <c r="R74" t="s">
        <v>35</v>
      </c>
      <c r="S74" t="s">
        <v>336</v>
      </c>
      <c r="T74">
        <v>831.93600000000004</v>
      </c>
      <c r="U74">
        <v>8</v>
      </c>
      <c r="V74">
        <v>0.2</v>
      </c>
      <c r="W74">
        <v>-114.3912</v>
      </c>
    </row>
    <row r="75" spans="1:23" x14ac:dyDescent="0.35">
      <c r="A75" s="1">
        <v>74</v>
      </c>
      <c r="B75" t="s">
        <v>330</v>
      </c>
      <c r="C75" s="2">
        <v>42120</v>
      </c>
      <c r="D75" s="2">
        <v>42126</v>
      </c>
      <c r="E75" s="2" t="str">
        <f t="shared" si="1"/>
        <v>Apr</v>
      </c>
      <c r="F75" s="5">
        <f>YEAR(Table1[[#This Row],[Order Date]])</f>
        <v>2015</v>
      </c>
      <c r="G75" t="s">
        <v>49</v>
      </c>
      <c r="H75" t="s">
        <v>331</v>
      </c>
      <c r="I75" t="s">
        <v>332</v>
      </c>
      <c r="J75" t="s">
        <v>25</v>
      </c>
      <c r="K75" t="s">
        <v>26</v>
      </c>
      <c r="L75" t="s">
        <v>333</v>
      </c>
      <c r="M75" t="s">
        <v>334</v>
      </c>
      <c r="N75">
        <v>38109</v>
      </c>
      <c r="O75" t="s">
        <v>29</v>
      </c>
      <c r="P75" t="s">
        <v>337</v>
      </c>
      <c r="Q75" t="s">
        <v>31</v>
      </c>
      <c r="R75" t="s">
        <v>64</v>
      </c>
      <c r="S75" t="s">
        <v>338</v>
      </c>
      <c r="T75">
        <v>97.04</v>
      </c>
      <c r="U75">
        <v>2</v>
      </c>
      <c r="V75">
        <v>0.2</v>
      </c>
      <c r="W75">
        <v>1.2130000000000001</v>
      </c>
    </row>
    <row r="76" spans="1:23" x14ac:dyDescent="0.35">
      <c r="A76" s="1">
        <v>75</v>
      </c>
      <c r="B76" t="s">
        <v>330</v>
      </c>
      <c r="C76" s="2">
        <v>42120</v>
      </c>
      <c r="D76" s="2">
        <v>42126</v>
      </c>
      <c r="E76" s="2" t="str">
        <f t="shared" si="1"/>
        <v>Apr</v>
      </c>
      <c r="F76" s="5">
        <f>YEAR(Table1[[#This Row],[Order Date]])</f>
        <v>2015</v>
      </c>
      <c r="G76" t="s">
        <v>49</v>
      </c>
      <c r="H76" t="s">
        <v>331</v>
      </c>
      <c r="I76" t="s">
        <v>332</v>
      </c>
      <c r="J76" t="s">
        <v>25</v>
      </c>
      <c r="K76" t="s">
        <v>26</v>
      </c>
      <c r="L76" t="s">
        <v>333</v>
      </c>
      <c r="M76" t="s">
        <v>334</v>
      </c>
      <c r="N76">
        <v>38109</v>
      </c>
      <c r="O76" t="s">
        <v>29</v>
      </c>
      <c r="P76" t="s">
        <v>339</v>
      </c>
      <c r="Q76" t="s">
        <v>45</v>
      </c>
      <c r="R76" t="s">
        <v>58</v>
      </c>
      <c r="S76" t="s">
        <v>340</v>
      </c>
      <c r="T76">
        <v>72.784000000000006</v>
      </c>
      <c r="U76">
        <v>1</v>
      </c>
      <c r="V76">
        <v>0.2</v>
      </c>
      <c r="W76">
        <v>-18.196000000000002</v>
      </c>
    </row>
    <row r="77" spans="1:23" x14ac:dyDescent="0.35">
      <c r="A77" s="1">
        <v>76</v>
      </c>
      <c r="B77" t="s">
        <v>341</v>
      </c>
      <c r="C77" s="2">
        <v>43078</v>
      </c>
      <c r="D77" s="2">
        <v>43080</v>
      </c>
      <c r="E77" s="2" t="str">
        <f t="shared" si="1"/>
        <v>Dec</v>
      </c>
      <c r="F77" s="5">
        <f>YEAR(Table1[[#This Row],[Order Date]])</f>
        <v>2017</v>
      </c>
      <c r="G77" t="s">
        <v>187</v>
      </c>
      <c r="H77" t="s">
        <v>342</v>
      </c>
      <c r="I77" t="s">
        <v>343</v>
      </c>
      <c r="J77" t="s">
        <v>40</v>
      </c>
      <c r="K77" t="s">
        <v>26</v>
      </c>
      <c r="L77" t="s">
        <v>183</v>
      </c>
      <c r="M77" t="s">
        <v>103</v>
      </c>
      <c r="N77">
        <v>77041</v>
      </c>
      <c r="O77" t="s">
        <v>104</v>
      </c>
      <c r="P77" t="s">
        <v>344</v>
      </c>
      <c r="Q77" t="s">
        <v>45</v>
      </c>
      <c r="R77" t="s">
        <v>74</v>
      </c>
      <c r="S77" t="s">
        <v>345</v>
      </c>
      <c r="T77">
        <v>1.248</v>
      </c>
      <c r="U77">
        <v>3</v>
      </c>
      <c r="V77">
        <v>0.8</v>
      </c>
      <c r="W77">
        <v>-1.9343999999999999</v>
      </c>
    </row>
    <row r="78" spans="1:23" x14ac:dyDescent="0.35">
      <c r="A78" s="1">
        <v>77</v>
      </c>
      <c r="B78" t="s">
        <v>341</v>
      </c>
      <c r="C78" s="2">
        <v>43078</v>
      </c>
      <c r="D78" s="2">
        <v>43080</v>
      </c>
      <c r="E78" s="2" t="str">
        <f t="shared" si="1"/>
        <v>Dec</v>
      </c>
      <c r="F78" s="5">
        <f>YEAR(Table1[[#This Row],[Order Date]])</f>
        <v>2017</v>
      </c>
      <c r="G78" t="s">
        <v>187</v>
      </c>
      <c r="H78" t="s">
        <v>342</v>
      </c>
      <c r="I78" t="s">
        <v>343</v>
      </c>
      <c r="J78" t="s">
        <v>40</v>
      </c>
      <c r="K78" t="s">
        <v>26</v>
      </c>
      <c r="L78" t="s">
        <v>183</v>
      </c>
      <c r="M78" t="s">
        <v>103</v>
      </c>
      <c r="N78">
        <v>77041</v>
      </c>
      <c r="O78" t="s">
        <v>104</v>
      </c>
      <c r="P78" t="s">
        <v>346</v>
      </c>
      <c r="Q78" t="s">
        <v>31</v>
      </c>
      <c r="R78" t="s">
        <v>64</v>
      </c>
      <c r="S78" t="s">
        <v>347</v>
      </c>
      <c r="T78">
        <v>9.7080000000000002</v>
      </c>
      <c r="U78">
        <v>3</v>
      </c>
      <c r="V78">
        <v>0.6</v>
      </c>
      <c r="W78">
        <v>-5.8247999999999998</v>
      </c>
    </row>
    <row r="79" spans="1:23" x14ac:dyDescent="0.35">
      <c r="A79" s="1">
        <v>78</v>
      </c>
      <c r="B79" t="s">
        <v>341</v>
      </c>
      <c r="C79" s="2">
        <v>43078</v>
      </c>
      <c r="D79" s="2">
        <v>43080</v>
      </c>
      <c r="E79" s="2" t="str">
        <f t="shared" si="1"/>
        <v>Dec</v>
      </c>
      <c r="F79" s="5">
        <f>YEAR(Table1[[#This Row],[Order Date]])</f>
        <v>2017</v>
      </c>
      <c r="G79" t="s">
        <v>187</v>
      </c>
      <c r="H79" t="s">
        <v>342</v>
      </c>
      <c r="I79" t="s">
        <v>343</v>
      </c>
      <c r="J79" t="s">
        <v>40</v>
      </c>
      <c r="K79" t="s">
        <v>26</v>
      </c>
      <c r="L79" t="s">
        <v>183</v>
      </c>
      <c r="M79" t="s">
        <v>103</v>
      </c>
      <c r="N79">
        <v>77041</v>
      </c>
      <c r="O79" t="s">
        <v>104</v>
      </c>
      <c r="P79" t="s">
        <v>348</v>
      </c>
      <c r="Q79" t="s">
        <v>45</v>
      </c>
      <c r="R79" t="s">
        <v>58</v>
      </c>
      <c r="S79" t="s">
        <v>349</v>
      </c>
      <c r="T79">
        <v>27.24</v>
      </c>
      <c r="U79">
        <v>3</v>
      </c>
      <c r="V79">
        <v>0.2</v>
      </c>
      <c r="W79">
        <v>2.7240000000000002</v>
      </c>
    </row>
    <row r="80" spans="1:23" x14ac:dyDescent="0.35">
      <c r="A80" s="1">
        <v>79</v>
      </c>
      <c r="B80" t="s">
        <v>350</v>
      </c>
      <c r="C80" s="2">
        <v>41969</v>
      </c>
      <c r="D80" s="2">
        <v>41974</v>
      </c>
      <c r="E80" s="2" t="str">
        <f t="shared" si="1"/>
        <v>Nov</v>
      </c>
      <c r="F80" s="5">
        <f>YEAR(Table1[[#This Row],[Order Date]])</f>
        <v>2014</v>
      </c>
      <c r="G80" t="s">
        <v>22</v>
      </c>
      <c r="H80" t="s">
        <v>331</v>
      </c>
      <c r="I80" t="s">
        <v>332</v>
      </c>
      <c r="J80" t="s">
        <v>25</v>
      </c>
      <c r="K80" t="s">
        <v>26</v>
      </c>
      <c r="L80" t="s">
        <v>183</v>
      </c>
      <c r="M80" t="s">
        <v>103</v>
      </c>
      <c r="N80">
        <v>77070</v>
      </c>
      <c r="O80" t="s">
        <v>104</v>
      </c>
      <c r="P80" t="s">
        <v>351</v>
      </c>
      <c r="Q80" t="s">
        <v>31</v>
      </c>
      <c r="R80" t="s">
        <v>64</v>
      </c>
      <c r="S80" t="s">
        <v>352</v>
      </c>
      <c r="T80">
        <v>19.3</v>
      </c>
      <c r="U80">
        <v>5</v>
      </c>
      <c r="V80">
        <v>0.6</v>
      </c>
      <c r="W80">
        <v>-14.475</v>
      </c>
    </row>
    <row r="81" spans="1:23" x14ac:dyDescent="0.35">
      <c r="A81" s="1">
        <v>80</v>
      </c>
      <c r="B81" t="s">
        <v>353</v>
      </c>
      <c r="C81" s="2">
        <v>42533</v>
      </c>
      <c r="D81" s="2">
        <v>42536</v>
      </c>
      <c r="E81" s="2" t="str">
        <f t="shared" si="1"/>
        <v>Jun</v>
      </c>
      <c r="F81" s="5">
        <f>YEAR(Table1[[#This Row],[Order Date]])</f>
        <v>2016</v>
      </c>
      <c r="G81" t="s">
        <v>187</v>
      </c>
      <c r="H81" t="s">
        <v>354</v>
      </c>
      <c r="I81" t="s">
        <v>355</v>
      </c>
      <c r="J81" t="s">
        <v>40</v>
      </c>
      <c r="K81" t="s">
        <v>26</v>
      </c>
      <c r="L81" t="s">
        <v>356</v>
      </c>
      <c r="M81" t="s">
        <v>357</v>
      </c>
      <c r="N81">
        <v>35601</v>
      </c>
      <c r="O81" t="s">
        <v>29</v>
      </c>
      <c r="P81" t="s">
        <v>358</v>
      </c>
      <c r="Q81" t="s">
        <v>45</v>
      </c>
      <c r="R81" t="s">
        <v>77</v>
      </c>
      <c r="S81" t="s">
        <v>359</v>
      </c>
      <c r="T81">
        <v>208.16</v>
      </c>
      <c r="U81">
        <v>1</v>
      </c>
      <c r="V81">
        <v>0</v>
      </c>
      <c r="W81">
        <v>56.203200000000002</v>
      </c>
    </row>
    <row r="82" spans="1:23" x14ac:dyDescent="0.35">
      <c r="A82" s="1">
        <v>81</v>
      </c>
      <c r="B82" t="s">
        <v>353</v>
      </c>
      <c r="C82" s="2">
        <v>42533</v>
      </c>
      <c r="D82" s="2">
        <v>42536</v>
      </c>
      <c r="E82" s="2" t="str">
        <f t="shared" si="1"/>
        <v>Jun</v>
      </c>
      <c r="F82" s="5">
        <f>YEAR(Table1[[#This Row],[Order Date]])</f>
        <v>2016</v>
      </c>
      <c r="G82" t="s">
        <v>187</v>
      </c>
      <c r="H82" t="s">
        <v>354</v>
      </c>
      <c r="I82" t="s">
        <v>355</v>
      </c>
      <c r="J82" t="s">
        <v>40</v>
      </c>
      <c r="K82" t="s">
        <v>26</v>
      </c>
      <c r="L82" t="s">
        <v>356</v>
      </c>
      <c r="M82" t="s">
        <v>357</v>
      </c>
      <c r="N82">
        <v>35601</v>
      </c>
      <c r="O82" t="s">
        <v>29</v>
      </c>
      <c r="P82" t="s">
        <v>360</v>
      </c>
      <c r="Q82" t="s">
        <v>45</v>
      </c>
      <c r="R82" t="s">
        <v>74</v>
      </c>
      <c r="S82" t="s">
        <v>361</v>
      </c>
      <c r="T82">
        <v>16.739999999999998</v>
      </c>
      <c r="U82">
        <v>3</v>
      </c>
      <c r="V82">
        <v>0</v>
      </c>
      <c r="W82">
        <v>8.0351999999999997</v>
      </c>
    </row>
    <row r="83" spans="1:23" x14ac:dyDescent="0.35">
      <c r="A83" s="1">
        <v>82</v>
      </c>
      <c r="B83" t="s">
        <v>362</v>
      </c>
      <c r="C83" s="2">
        <v>41924</v>
      </c>
      <c r="D83" s="2">
        <v>41928</v>
      </c>
      <c r="E83" s="2" t="str">
        <f t="shared" si="1"/>
        <v>Oct</v>
      </c>
      <c r="F83" s="5">
        <f>YEAR(Table1[[#This Row],[Order Date]])</f>
        <v>2014</v>
      </c>
      <c r="G83" t="s">
        <v>49</v>
      </c>
      <c r="H83" t="s">
        <v>363</v>
      </c>
      <c r="I83" t="s">
        <v>364</v>
      </c>
      <c r="J83" t="s">
        <v>25</v>
      </c>
      <c r="K83" t="s">
        <v>26</v>
      </c>
      <c r="L83" t="s">
        <v>126</v>
      </c>
      <c r="M83" t="s">
        <v>42</v>
      </c>
      <c r="N83">
        <v>94122</v>
      </c>
      <c r="O83" t="s">
        <v>43</v>
      </c>
      <c r="P83" t="s">
        <v>365</v>
      </c>
      <c r="Q83" t="s">
        <v>45</v>
      </c>
      <c r="R83" t="s">
        <v>67</v>
      </c>
      <c r="S83" t="s">
        <v>366</v>
      </c>
      <c r="T83">
        <v>14.9</v>
      </c>
      <c r="U83">
        <v>5</v>
      </c>
      <c r="V83">
        <v>0</v>
      </c>
      <c r="W83">
        <v>4.1719999999999997</v>
      </c>
    </row>
    <row r="84" spans="1:23" x14ac:dyDescent="0.35">
      <c r="A84" s="1">
        <v>83</v>
      </c>
      <c r="B84" t="s">
        <v>362</v>
      </c>
      <c r="C84" s="2">
        <v>41924</v>
      </c>
      <c r="D84" s="2">
        <v>41928</v>
      </c>
      <c r="E84" s="2" t="str">
        <f t="shared" si="1"/>
        <v>Oct</v>
      </c>
      <c r="F84" s="5">
        <f>YEAR(Table1[[#This Row],[Order Date]])</f>
        <v>2014</v>
      </c>
      <c r="G84" t="s">
        <v>49</v>
      </c>
      <c r="H84" t="s">
        <v>363</v>
      </c>
      <c r="I84" t="s">
        <v>364</v>
      </c>
      <c r="J84" t="s">
        <v>25</v>
      </c>
      <c r="K84" t="s">
        <v>26</v>
      </c>
      <c r="L84" t="s">
        <v>126</v>
      </c>
      <c r="M84" t="s">
        <v>42</v>
      </c>
      <c r="N84">
        <v>94122</v>
      </c>
      <c r="O84" t="s">
        <v>43</v>
      </c>
      <c r="P84" t="s">
        <v>367</v>
      </c>
      <c r="Q84" t="s">
        <v>45</v>
      </c>
      <c r="R84" t="s">
        <v>58</v>
      </c>
      <c r="S84" t="s">
        <v>368</v>
      </c>
      <c r="T84">
        <v>21.39</v>
      </c>
      <c r="U84">
        <v>1</v>
      </c>
      <c r="V84">
        <v>0</v>
      </c>
      <c r="W84">
        <v>6.2031000000000001</v>
      </c>
    </row>
    <row r="85" spans="1:23" x14ac:dyDescent="0.35">
      <c r="A85" s="1">
        <v>84</v>
      </c>
      <c r="B85" t="s">
        <v>369</v>
      </c>
      <c r="C85" s="2">
        <v>42250</v>
      </c>
      <c r="D85" s="2">
        <v>42255</v>
      </c>
      <c r="E85" s="2" t="str">
        <f t="shared" si="1"/>
        <v>Sep</v>
      </c>
      <c r="F85" s="5">
        <f>YEAR(Table1[[#This Row],[Order Date]])</f>
        <v>2015</v>
      </c>
      <c r="G85" t="s">
        <v>49</v>
      </c>
      <c r="H85" t="s">
        <v>370</v>
      </c>
      <c r="I85" t="s">
        <v>371</v>
      </c>
      <c r="J85" t="s">
        <v>40</v>
      </c>
      <c r="K85" t="s">
        <v>26</v>
      </c>
      <c r="L85" t="s">
        <v>372</v>
      </c>
      <c r="M85" t="s">
        <v>87</v>
      </c>
      <c r="N85">
        <v>27707</v>
      </c>
      <c r="O85" t="s">
        <v>29</v>
      </c>
      <c r="P85" t="s">
        <v>373</v>
      </c>
      <c r="Q85" t="s">
        <v>45</v>
      </c>
      <c r="R85" t="s">
        <v>172</v>
      </c>
      <c r="S85" t="s">
        <v>374</v>
      </c>
      <c r="T85">
        <v>200.98400000000001</v>
      </c>
      <c r="U85">
        <v>7</v>
      </c>
      <c r="V85">
        <v>0.2</v>
      </c>
      <c r="W85">
        <v>62.807499999999997</v>
      </c>
    </row>
    <row r="86" spans="1:23" x14ac:dyDescent="0.35">
      <c r="A86" s="1">
        <v>85</v>
      </c>
      <c r="B86" t="s">
        <v>375</v>
      </c>
      <c r="C86" s="2">
        <v>43052</v>
      </c>
      <c r="D86" s="2">
        <v>43055</v>
      </c>
      <c r="E86" s="2" t="str">
        <f t="shared" si="1"/>
        <v>Nov</v>
      </c>
      <c r="F86" s="5">
        <f>YEAR(Table1[[#This Row],[Order Date]])</f>
        <v>2017</v>
      </c>
      <c r="G86" t="s">
        <v>187</v>
      </c>
      <c r="H86" t="s">
        <v>376</v>
      </c>
      <c r="I86" t="s">
        <v>377</v>
      </c>
      <c r="J86" t="s">
        <v>101</v>
      </c>
      <c r="K86" t="s">
        <v>26</v>
      </c>
      <c r="L86" t="s">
        <v>302</v>
      </c>
      <c r="M86" t="s">
        <v>210</v>
      </c>
      <c r="N86">
        <v>60623</v>
      </c>
      <c r="O86" t="s">
        <v>104</v>
      </c>
      <c r="P86" t="s">
        <v>378</v>
      </c>
      <c r="Q86" t="s">
        <v>45</v>
      </c>
      <c r="R86" t="s">
        <v>58</v>
      </c>
      <c r="S86" t="s">
        <v>379</v>
      </c>
      <c r="T86">
        <v>230.376</v>
      </c>
      <c r="U86">
        <v>3</v>
      </c>
      <c r="V86">
        <v>0.2</v>
      </c>
      <c r="W86">
        <v>-48.954900000000002</v>
      </c>
    </row>
    <row r="87" spans="1:23" x14ac:dyDescent="0.35">
      <c r="A87" s="1">
        <v>86</v>
      </c>
      <c r="B87" t="s">
        <v>380</v>
      </c>
      <c r="C87" s="2">
        <v>42883</v>
      </c>
      <c r="D87" s="2">
        <v>42885</v>
      </c>
      <c r="E87" s="2" t="str">
        <f t="shared" si="1"/>
        <v>May</v>
      </c>
      <c r="F87" s="5">
        <f>YEAR(Table1[[#This Row],[Order Date]])</f>
        <v>2017</v>
      </c>
      <c r="G87" t="s">
        <v>22</v>
      </c>
      <c r="H87" t="s">
        <v>234</v>
      </c>
      <c r="I87" t="s">
        <v>235</v>
      </c>
      <c r="J87" t="s">
        <v>25</v>
      </c>
      <c r="K87" t="s">
        <v>26</v>
      </c>
      <c r="L87" t="s">
        <v>381</v>
      </c>
      <c r="M87" t="s">
        <v>382</v>
      </c>
      <c r="N87">
        <v>29203</v>
      </c>
      <c r="O87" t="s">
        <v>29</v>
      </c>
      <c r="P87" t="s">
        <v>383</v>
      </c>
      <c r="Q87" t="s">
        <v>31</v>
      </c>
      <c r="R87" t="s">
        <v>35</v>
      </c>
      <c r="S87" t="s">
        <v>384</v>
      </c>
      <c r="T87">
        <v>301.95999999999998</v>
      </c>
      <c r="U87">
        <v>2</v>
      </c>
      <c r="V87">
        <v>0</v>
      </c>
      <c r="W87">
        <v>33.215600000000002</v>
      </c>
    </row>
    <row r="88" spans="1:23" x14ac:dyDescent="0.35">
      <c r="A88" s="1">
        <v>87</v>
      </c>
      <c r="B88" t="s">
        <v>385</v>
      </c>
      <c r="C88" s="2">
        <v>43034</v>
      </c>
      <c r="D88" s="2">
        <v>43041</v>
      </c>
      <c r="E88" s="2" t="str">
        <f t="shared" si="1"/>
        <v>Oct</v>
      </c>
      <c r="F88" s="5">
        <f>YEAR(Table1[[#This Row],[Order Date]])</f>
        <v>2017</v>
      </c>
      <c r="G88" t="s">
        <v>49</v>
      </c>
      <c r="H88" t="s">
        <v>386</v>
      </c>
      <c r="I88" t="s">
        <v>387</v>
      </c>
      <c r="J88" t="s">
        <v>25</v>
      </c>
      <c r="K88" t="s">
        <v>26</v>
      </c>
      <c r="L88" t="s">
        <v>388</v>
      </c>
      <c r="M88" t="s">
        <v>228</v>
      </c>
      <c r="N88">
        <v>55901</v>
      </c>
      <c r="O88" t="s">
        <v>104</v>
      </c>
      <c r="P88" t="s">
        <v>389</v>
      </c>
      <c r="Q88" t="s">
        <v>70</v>
      </c>
      <c r="R88" t="s">
        <v>160</v>
      </c>
      <c r="S88" t="s">
        <v>390</v>
      </c>
      <c r="T88">
        <v>19.989999999999998</v>
      </c>
      <c r="U88">
        <v>1</v>
      </c>
      <c r="V88">
        <v>0</v>
      </c>
      <c r="W88">
        <v>6.7965999999999998</v>
      </c>
    </row>
    <row r="89" spans="1:23" x14ac:dyDescent="0.35">
      <c r="A89" s="1">
        <v>88</v>
      </c>
      <c r="B89" t="s">
        <v>385</v>
      </c>
      <c r="C89" s="2">
        <v>43034</v>
      </c>
      <c r="D89" s="2">
        <v>43041</v>
      </c>
      <c r="E89" s="2" t="str">
        <f t="shared" si="1"/>
        <v>Oct</v>
      </c>
      <c r="F89" s="5">
        <f>YEAR(Table1[[#This Row],[Order Date]])</f>
        <v>2017</v>
      </c>
      <c r="G89" t="s">
        <v>49</v>
      </c>
      <c r="H89" t="s">
        <v>386</v>
      </c>
      <c r="I89" t="s">
        <v>387</v>
      </c>
      <c r="J89" t="s">
        <v>25</v>
      </c>
      <c r="K89" t="s">
        <v>26</v>
      </c>
      <c r="L89" t="s">
        <v>388</v>
      </c>
      <c r="M89" t="s">
        <v>228</v>
      </c>
      <c r="N89">
        <v>55901</v>
      </c>
      <c r="O89" t="s">
        <v>104</v>
      </c>
      <c r="P89" t="s">
        <v>391</v>
      </c>
      <c r="Q89" t="s">
        <v>45</v>
      </c>
      <c r="R89" t="s">
        <v>46</v>
      </c>
      <c r="S89" t="s">
        <v>392</v>
      </c>
      <c r="T89">
        <v>6.16</v>
      </c>
      <c r="U89">
        <v>2</v>
      </c>
      <c r="V89">
        <v>0</v>
      </c>
      <c r="W89">
        <v>2.9567999999999999</v>
      </c>
    </row>
    <row r="90" spans="1:23" x14ac:dyDescent="0.35">
      <c r="A90" s="1">
        <v>89</v>
      </c>
      <c r="B90" t="s">
        <v>393</v>
      </c>
      <c r="C90" s="2">
        <v>42465</v>
      </c>
      <c r="D90" s="2">
        <v>42470</v>
      </c>
      <c r="E90" s="2" t="str">
        <f t="shared" si="1"/>
        <v>Apr</v>
      </c>
      <c r="F90" s="5">
        <f>YEAR(Table1[[#This Row],[Order Date]])</f>
        <v>2016</v>
      </c>
      <c r="G90" t="s">
        <v>22</v>
      </c>
      <c r="H90" t="s">
        <v>394</v>
      </c>
      <c r="I90" t="s">
        <v>395</v>
      </c>
      <c r="J90" t="s">
        <v>101</v>
      </c>
      <c r="K90" t="s">
        <v>26</v>
      </c>
      <c r="L90" t="s">
        <v>183</v>
      </c>
      <c r="M90" t="s">
        <v>103</v>
      </c>
      <c r="N90">
        <v>77095</v>
      </c>
      <c r="O90" t="s">
        <v>104</v>
      </c>
      <c r="P90" t="s">
        <v>396</v>
      </c>
      <c r="Q90" t="s">
        <v>45</v>
      </c>
      <c r="R90" t="s">
        <v>58</v>
      </c>
      <c r="S90" t="s">
        <v>397</v>
      </c>
      <c r="T90">
        <v>158.36799999999999</v>
      </c>
      <c r="U90">
        <v>7</v>
      </c>
      <c r="V90">
        <v>0.2</v>
      </c>
      <c r="W90">
        <v>13.857200000000001</v>
      </c>
    </row>
    <row r="91" spans="1:23" x14ac:dyDescent="0.35">
      <c r="A91" s="1">
        <v>90</v>
      </c>
      <c r="B91" t="s">
        <v>398</v>
      </c>
      <c r="C91" s="2">
        <v>42630</v>
      </c>
      <c r="D91" s="2">
        <v>42635</v>
      </c>
      <c r="E91" s="2" t="str">
        <f t="shared" si="1"/>
        <v>Sep</v>
      </c>
      <c r="F91" s="5">
        <f>YEAR(Table1[[#This Row],[Order Date]])</f>
        <v>2016</v>
      </c>
      <c r="G91" t="s">
        <v>49</v>
      </c>
      <c r="H91" t="s">
        <v>399</v>
      </c>
      <c r="I91" t="s">
        <v>400</v>
      </c>
      <c r="J91" t="s">
        <v>40</v>
      </c>
      <c r="K91" t="s">
        <v>26</v>
      </c>
      <c r="L91" t="s">
        <v>41</v>
      </c>
      <c r="M91" t="s">
        <v>42</v>
      </c>
      <c r="N91">
        <v>90036</v>
      </c>
      <c r="O91" t="s">
        <v>43</v>
      </c>
      <c r="P91" t="s">
        <v>401</v>
      </c>
      <c r="Q91" t="s">
        <v>45</v>
      </c>
      <c r="R91" t="s">
        <v>67</v>
      </c>
      <c r="S91" t="s">
        <v>402</v>
      </c>
      <c r="T91">
        <v>20.100000000000001</v>
      </c>
      <c r="U91">
        <v>3</v>
      </c>
      <c r="V91">
        <v>0</v>
      </c>
      <c r="W91">
        <v>6.633</v>
      </c>
    </row>
    <row r="92" spans="1:23" x14ac:dyDescent="0.35">
      <c r="A92" s="1">
        <v>91</v>
      </c>
      <c r="B92" t="s">
        <v>398</v>
      </c>
      <c r="C92" s="2">
        <v>42630</v>
      </c>
      <c r="D92" s="2">
        <v>42635</v>
      </c>
      <c r="E92" s="2" t="str">
        <f t="shared" si="1"/>
        <v>Sep</v>
      </c>
      <c r="F92" s="5">
        <f>YEAR(Table1[[#This Row],[Order Date]])</f>
        <v>2016</v>
      </c>
      <c r="G92" t="s">
        <v>49</v>
      </c>
      <c r="H92" t="s">
        <v>399</v>
      </c>
      <c r="I92" t="s">
        <v>400</v>
      </c>
      <c r="J92" t="s">
        <v>40</v>
      </c>
      <c r="K92" t="s">
        <v>26</v>
      </c>
      <c r="L92" t="s">
        <v>41</v>
      </c>
      <c r="M92" t="s">
        <v>42</v>
      </c>
      <c r="N92">
        <v>90036</v>
      </c>
      <c r="O92" t="s">
        <v>43</v>
      </c>
      <c r="P92" t="s">
        <v>211</v>
      </c>
      <c r="Q92" t="s">
        <v>70</v>
      </c>
      <c r="R92" t="s">
        <v>71</v>
      </c>
      <c r="S92" t="s">
        <v>212</v>
      </c>
      <c r="T92">
        <v>73.584000000000003</v>
      </c>
      <c r="U92">
        <v>2</v>
      </c>
      <c r="V92">
        <v>0.2</v>
      </c>
      <c r="W92">
        <v>8.2782</v>
      </c>
    </row>
    <row r="93" spans="1:23" x14ac:dyDescent="0.35">
      <c r="A93" s="1">
        <v>92</v>
      </c>
      <c r="B93" t="s">
        <v>398</v>
      </c>
      <c r="C93" s="2">
        <v>42630</v>
      </c>
      <c r="D93" s="2">
        <v>42635</v>
      </c>
      <c r="E93" s="2" t="str">
        <f t="shared" si="1"/>
        <v>Sep</v>
      </c>
      <c r="F93" s="5">
        <f>YEAR(Table1[[#This Row],[Order Date]])</f>
        <v>2016</v>
      </c>
      <c r="G93" t="s">
        <v>49</v>
      </c>
      <c r="H93" t="s">
        <v>399</v>
      </c>
      <c r="I93" t="s">
        <v>400</v>
      </c>
      <c r="J93" t="s">
        <v>40</v>
      </c>
      <c r="K93" t="s">
        <v>26</v>
      </c>
      <c r="L93" t="s">
        <v>41</v>
      </c>
      <c r="M93" t="s">
        <v>42</v>
      </c>
      <c r="N93">
        <v>90036</v>
      </c>
      <c r="O93" t="s">
        <v>43</v>
      </c>
      <c r="P93" t="s">
        <v>403</v>
      </c>
      <c r="Q93" t="s">
        <v>45</v>
      </c>
      <c r="R93" t="s">
        <v>89</v>
      </c>
      <c r="S93" t="s">
        <v>404</v>
      </c>
      <c r="T93">
        <v>6.48</v>
      </c>
      <c r="U93">
        <v>1</v>
      </c>
      <c r="V93">
        <v>0</v>
      </c>
      <c r="W93">
        <v>3.1103999999999998</v>
      </c>
    </row>
    <row r="94" spans="1:23" x14ac:dyDescent="0.35">
      <c r="A94" s="1">
        <v>93</v>
      </c>
      <c r="B94" t="s">
        <v>405</v>
      </c>
      <c r="C94" s="2">
        <v>42035</v>
      </c>
      <c r="D94" s="2">
        <v>42040</v>
      </c>
      <c r="E94" s="2" t="str">
        <f t="shared" si="1"/>
        <v>Jan</v>
      </c>
      <c r="F94" s="5">
        <f>YEAR(Table1[[#This Row],[Order Date]])</f>
        <v>2015</v>
      </c>
      <c r="G94" t="s">
        <v>22</v>
      </c>
      <c r="H94" t="s">
        <v>406</v>
      </c>
      <c r="I94" t="s">
        <v>407</v>
      </c>
      <c r="J94" t="s">
        <v>25</v>
      </c>
      <c r="K94" t="s">
        <v>26</v>
      </c>
      <c r="L94" t="s">
        <v>408</v>
      </c>
      <c r="M94" t="s">
        <v>228</v>
      </c>
      <c r="N94">
        <v>55407</v>
      </c>
      <c r="O94" t="s">
        <v>104</v>
      </c>
      <c r="P94" t="s">
        <v>409</v>
      </c>
      <c r="Q94" t="s">
        <v>45</v>
      </c>
      <c r="R94" t="s">
        <v>89</v>
      </c>
      <c r="S94" t="s">
        <v>410</v>
      </c>
      <c r="T94">
        <v>12.96</v>
      </c>
      <c r="U94">
        <v>2</v>
      </c>
      <c r="V94">
        <v>0</v>
      </c>
      <c r="W94">
        <v>6.2207999999999997</v>
      </c>
    </row>
    <row r="95" spans="1:23" x14ac:dyDescent="0.35">
      <c r="A95" s="1">
        <v>94</v>
      </c>
      <c r="B95" t="s">
        <v>405</v>
      </c>
      <c r="C95" s="2">
        <v>42035</v>
      </c>
      <c r="D95" s="2">
        <v>42040</v>
      </c>
      <c r="E95" s="2" t="str">
        <f t="shared" si="1"/>
        <v>Jan</v>
      </c>
      <c r="F95" s="5">
        <f>YEAR(Table1[[#This Row],[Order Date]])</f>
        <v>2015</v>
      </c>
      <c r="G95" t="s">
        <v>22</v>
      </c>
      <c r="H95" t="s">
        <v>406</v>
      </c>
      <c r="I95" t="s">
        <v>407</v>
      </c>
      <c r="J95" t="s">
        <v>25</v>
      </c>
      <c r="K95" t="s">
        <v>26</v>
      </c>
      <c r="L95" t="s">
        <v>408</v>
      </c>
      <c r="M95" t="s">
        <v>228</v>
      </c>
      <c r="N95">
        <v>55407</v>
      </c>
      <c r="O95" t="s">
        <v>104</v>
      </c>
      <c r="P95" t="s">
        <v>411</v>
      </c>
      <c r="Q95" t="s">
        <v>31</v>
      </c>
      <c r="R95" t="s">
        <v>64</v>
      </c>
      <c r="S95" t="s">
        <v>412</v>
      </c>
      <c r="T95">
        <v>53.34</v>
      </c>
      <c r="U95">
        <v>3</v>
      </c>
      <c r="V95">
        <v>0</v>
      </c>
      <c r="W95">
        <v>16.535399999999999</v>
      </c>
    </row>
    <row r="96" spans="1:23" x14ac:dyDescent="0.35">
      <c r="A96" s="1">
        <v>95</v>
      </c>
      <c r="B96" t="s">
        <v>405</v>
      </c>
      <c r="C96" s="2">
        <v>42035</v>
      </c>
      <c r="D96" s="2">
        <v>42040</v>
      </c>
      <c r="E96" s="2" t="str">
        <f t="shared" si="1"/>
        <v>Jan</v>
      </c>
      <c r="F96" s="5">
        <f>YEAR(Table1[[#This Row],[Order Date]])</f>
        <v>2015</v>
      </c>
      <c r="G96" t="s">
        <v>22</v>
      </c>
      <c r="H96" t="s">
        <v>406</v>
      </c>
      <c r="I96" t="s">
        <v>407</v>
      </c>
      <c r="J96" t="s">
        <v>25</v>
      </c>
      <c r="K96" t="s">
        <v>26</v>
      </c>
      <c r="L96" t="s">
        <v>408</v>
      </c>
      <c r="M96" t="s">
        <v>228</v>
      </c>
      <c r="N96">
        <v>55407</v>
      </c>
      <c r="O96" t="s">
        <v>104</v>
      </c>
      <c r="P96" t="s">
        <v>413</v>
      </c>
      <c r="Q96" t="s">
        <v>45</v>
      </c>
      <c r="R96" t="s">
        <v>74</v>
      </c>
      <c r="S96" t="s">
        <v>414</v>
      </c>
      <c r="T96">
        <v>32.96</v>
      </c>
      <c r="U96">
        <v>2</v>
      </c>
      <c r="V96">
        <v>0</v>
      </c>
      <c r="W96">
        <v>16.150400000000001</v>
      </c>
    </row>
    <row r="97" spans="1:23" x14ac:dyDescent="0.35">
      <c r="A97" s="1">
        <v>96</v>
      </c>
      <c r="B97" t="s">
        <v>415</v>
      </c>
      <c r="C97" s="2">
        <v>43045</v>
      </c>
      <c r="D97" s="2">
        <v>43051</v>
      </c>
      <c r="E97" s="2" t="str">
        <f t="shared" si="1"/>
        <v>Nov</v>
      </c>
      <c r="F97" s="5">
        <f>YEAR(Table1[[#This Row],[Order Date]])</f>
        <v>2017</v>
      </c>
      <c r="G97" t="s">
        <v>49</v>
      </c>
      <c r="H97" t="s">
        <v>416</v>
      </c>
      <c r="I97" t="s">
        <v>417</v>
      </c>
      <c r="J97" t="s">
        <v>101</v>
      </c>
      <c r="K97" t="s">
        <v>26</v>
      </c>
      <c r="L97" t="s">
        <v>418</v>
      </c>
      <c r="M97" t="s">
        <v>419</v>
      </c>
      <c r="N97">
        <v>97206</v>
      </c>
      <c r="O97" t="s">
        <v>43</v>
      </c>
      <c r="P97" t="s">
        <v>420</v>
      </c>
      <c r="Q97" t="s">
        <v>45</v>
      </c>
      <c r="R97" t="s">
        <v>74</v>
      </c>
      <c r="S97" t="s">
        <v>421</v>
      </c>
      <c r="T97">
        <v>5.6820000000000004</v>
      </c>
      <c r="U97">
        <v>1</v>
      </c>
      <c r="V97">
        <v>0.7</v>
      </c>
      <c r="W97">
        <v>-3.7879999999999998</v>
      </c>
    </row>
    <row r="98" spans="1:23" x14ac:dyDescent="0.35">
      <c r="A98" s="1">
        <v>97</v>
      </c>
      <c r="B98" t="s">
        <v>422</v>
      </c>
      <c r="C98" s="2">
        <v>43048</v>
      </c>
      <c r="D98" s="2">
        <v>43050</v>
      </c>
      <c r="E98" s="2" t="str">
        <f t="shared" si="1"/>
        <v>Nov</v>
      </c>
      <c r="F98" s="5">
        <f>YEAR(Table1[[#This Row],[Order Date]])</f>
        <v>2017</v>
      </c>
      <c r="G98" t="s">
        <v>22</v>
      </c>
      <c r="H98" t="s">
        <v>423</v>
      </c>
      <c r="I98" t="s">
        <v>424</v>
      </c>
      <c r="J98" t="s">
        <v>101</v>
      </c>
      <c r="K98" t="s">
        <v>26</v>
      </c>
      <c r="L98" t="s">
        <v>265</v>
      </c>
      <c r="M98" t="s">
        <v>266</v>
      </c>
      <c r="N98">
        <v>10009</v>
      </c>
      <c r="O98" t="s">
        <v>147</v>
      </c>
      <c r="P98" t="s">
        <v>425</v>
      </c>
      <c r="Q98" t="s">
        <v>31</v>
      </c>
      <c r="R98" t="s">
        <v>64</v>
      </c>
      <c r="S98" t="s">
        <v>426</v>
      </c>
      <c r="T98">
        <v>96.53</v>
      </c>
      <c r="U98">
        <v>7</v>
      </c>
      <c r="V98">
        <v>0</v>
      </c>
      <c r="W98">
        <v>40.5426</v>
      </c>
    </row>
    <row r="99" spans="1:23" x14ac:dyDescent="0.35">
      <c r="A99" s="1">
        <v>98</v>
      </c>
      <c r="B99" t="s">
        <v>427</v>
      </c>
      <c r="C99" s="2">
        <v>42903</v>
      </c>
      <c r="D99" s="2">
        <v>42906</v>
      </c>
      <c r="E99" s="2" t="str">
        <f t="shared" si="1"/>
        <v>Jun</v>
      </c>
      <c r="F99" s="5">
        <f>YEAR(Table1[[#This Row],[Order Date]])</f>
        <v>2017</v>
      </c>
      <c r="G99" t="s">
        <v>187</v>
      </c>
      <c r="H99" t="s">
        <v>428</v>
      </c>
      <c r="I99" t="s">
        <v>429</v>
      </c>
      <c r="J99" t="s">
        <v>25</v>
      </c>
      <c r="K99" t="s">
        <v>26</v>
      </c>
      <c r="L99" t="s">
        <v>126</v>
      </c>
      <c r="M99" t="s">
        <v>42</v>
      </c>
      <c r="N99">
        <v>94122</v>
      </c>
      <c r="O99" t="s">
        <v>43</v>
      </c>
      <c r="P99" t="s">
        <v>430</v>
      </c>
      <c r="Q99" t="s">
        <v>45</v>
      </c>
      <c r="R99" t="s">
        <v>74</v>
      </c>
      <c r="S99" t="s">
        <v>431</v>
      </c>
      <c r="T99">
        <v>51.311999999999998</v>
      </c>
      <c r="U99">
        <v>3</v>
      </c>
      <c r="V99">
        <v>0.2</v>
      </c>
      <c r="W99">
        <v>17.959199999999999</v>
      </c>
    </row>
    <row r="100" spans="1:23" x14ac:dyDescent="0.35">
      <c r="A100" s="1">
        <v>99</v>
      </c>
      <c r="B100" t="s">
        <v>432</v>
      </c>
      <c r="C100" s="2">
        <v>42619</v>
      </c>
      <c r="D100" s="2">
        <v>42624</v>
      </c>
      <c r="E100" s="2" t="str">
        <f t="shared" si="1"/>
        <v>Sep</v>
      </c>
      <c r="F100" s="5">
        <f>YEAR(Table1[[#This Row],[Order Date]])</f>
        <v>2016</v>
      </c>
      <c r="G100" t="s">
        <v>49</v>
      </c>
      <c r="H100" t="s">
        <v>433</v>
      </c>
      <c r="I100" t="s">
        <v>434</v>
      </c>
      <c r="J100" t="s">
        <v>40</v>
      </c>
      <c r="K100" t="s">
        <v>26</v>
      </c>
      <c r="L100" t="s">
        <v>435</v>
      </c>
      <c r="M100" t="s">
        <v>228</v>
      </c>
      <c r="N100">
        <v>55106</v>
      </c>
      <c r="O100" t="s">
        <v>104</v>
      </c>
      <c r="P100" t="s">
        <v>436</v>
      </c>
      <c r="Q100" t="s">
        <v>45</v>
      </c>
      <c r="R100" t="s">
        <v>77</v>
      </c>
      <c r="S100" t="s">
        <v>437</v>
      </c>
      <c r="T100">
        <v>77.88</v>
      </c>
      <c r="U100">
        <v>6</v>
      </c>
      <c r="V100">
        <v>0</v>
      </c>
      <c r="W100">
        <v>22.5852</v>
      </c>
    </row>
    <row r="101" spans="1:23" x14ac:dyDescent="0.35">
      <c r="A101" s="1">
        <v>100</v>
      </c>
      <c r="B101" t="s">
        <v>438</v>
      </c>
      <c r="C101" s="2">
        <v>42611</v>
      </c>
      <c r="D101" s="2">
        <v>42615</v>
      </c>
      <c r="E101" s="2" t="str">
        <f t="shared" si="1"/>
        <v>Aug</v>
      </c>
      <c r="F101" s="5">
        <f>YEAR(Table1[[#This Row],[Order Date]])</f>
        <v>2016</v>
      </c>
      <c r="G101" t="s">
        <v>49</v>
      </c>
      <c r="H101" t="s">
        <v>439</v>
      </c>
      <c r="I101" t="s">
        <v>440</v>
      </c>
      <c r="J101" t="s">
        <v>101</v>
      </c>
      <c r="K101" t="s">
        <v>26</v>
      </c>
      <c r="L101" t="s">
        <v>302</v>
      </c>
      <c r="M101" t="s">
        <v>210</v>
      </c>
      <c r="N101">
        <v>60610</v>
      </c>
      <c r="O101" t="s">
        <v>104</v>
      </c>
      <c r="P101" t="s">
        <v>441</v>
      </c>
      <c r="Q101" t="s">
        <v>45</v>
      </c>
      <c r="R101" t="s">
        <v>89</v>
      </c>
      <c r="S101" t="s">
        <v>442</v>
      </c>
      <c r="T101">
        <v>64.623999999999995</v>
      </c>
      <c r="U101">
        <v>7</v>
      </c>
      <c r="V101">
        <v>0.2</v>
      </c>
      <c r="W101">
        <v>22.618400000000001</v>
      </c>
    </row>
    <row r="102" spans="1:23" x14ac:dyDescent="0.35">
      <c r="A102" s="1">
        <v>101</v>
      </c>
      <c r="B102" t="s">
        <v>438</v>
      </c>
      <c r="C102" s="2">
        <v>42611</v>
      </c>
      <c r="D102" s="2">
        <v>42615</v>
      </c>
      <c r="E102" s="2" t="str">
        <f t="shared" si="1"/>
        <v>Aug</v>
      </c>
      <c r="F102" s="5">
        <f>YEAR(Table1[[#This Row],[Order Date]])</f>
        <v>2016</v>
      </c>
      <c r="G102" t="s">
        <v>49</v>
      </c>
      <c r="H102" t="s">
        <v>439</v>
      </c>
      <c r="I102" t="s">
        <v>440</v>
      </c>
      <c r="J102" t="s">
        <v>101</v>
      </c>
      <c r="K102" t="s">
        <v>26</v>
      </c>
      <c r="L102" t="s">
        <v>302</v>
      </c>
      <c r="M102" t="s">
        <v>210</v>
      </c>
      <c r="N102">
        <v>60610</v>
      </c>
      <c r="O102" t="s">
        <v>104</v>
      </c>
      <c r="P102" t="s">
        <v>443</v>
      </c>
      <c r="Q102" t="s">
        <v>70</v>
      </c>
      <c r="R102" t="s">
        <v>160</v>
      </c>
      <c r="S102" t="s">
        <v>444</v>
      </c>
      <c r="T102">
        <v>95.975999999999999</v>
      </c>
      <c r="U102">
        <v>3</v>
      </c>
      <c r="V102">
        <v>0.2</v>
      </c>
      <c r="W102">
        <v>-10.7973</v>
      </c>
    </row>
    <row r="103" spans="1:23" x14ac:dyDescent="0.35">
      <c r="A103" s="1">
        <v>102</v>
      </c>
      <c r="B103" t="s">
        <v>438</v>
      </c>
      <c r="C103" s="2">
        <v>42611</v>
      </c>
      <c r="D103" s="2">
        <v>42615</v>
      </c>
      <c r="E103" s="2" t="str">
        <f t="shared" si="1"/>
        <v>Aug</v>
      </c>
      <c r="F103" s="5">
        <f>YEAR(Table1[[#This Row],[Order Date]])</f>
        <v>2016</v>
      </c>
      <c r="G103" t="s">
        <v>49</v>
      </c>
      <c r="H103" t="s">
        <v>439</v>
      </c>
      <c r="I103" t="s">
        <v>440</v>
      </c>
      <c r="J103" t="s">
        <v>101</v>
      </c>
      <c r="K103" t="s">
        <v>26</v>
      </c>
      <c r="L103" t="s">
        <v>302</v>
      </c>
      <c r="M103" t="s">
        <v>210</v>
      </c>
      <c r="N103">
        <v>60610</v>
      </c>
      <c r="O103" t="s">
        <v>104</v>
      </c>
      <c r="P103" t="s">
        <v>445</v>
      </c>
      <c r="Q103" t="s">
        <v>45</v>
      </c>
      <c r="R103" t="s">
        <v>74</v>
      </c>
      <c r="S103" t="s">
        <v>446</v>
      </c>
      <c r="T103">
        <v>1.788</v>
      </c>
      <c r="U103">
        <v>3</v>
      </c>
      <c r="V103">
        <v>0.8</v>
      </c>
      <c r="W103">
        <v>-3.0396000000000001</v>
      </c>
    </row>
    <row r="104" spans="1:23" x14ac:dyDescent="0.35">
      <c r="A104" s="1">
        <v>103</v>
      </c>
      <c r="B104" t="s">
        <v>447</v>
      </c>
      <c r="C104" s="2">
        <v>42705</v>
      </c>
      <c r="D104" s="2">
        <v>42708</v>
      </c>
      <c r="E104" s="2" t="str">
        <f t="shared" si="1"/>
        <v>Dec</v>
      </c>
      <c r="F104" s="5">
        <f>YEAR(Table1[[#This Row],[Order Date]])</f>
        <v>2016</v>
      </c>
      <c r="G104" t="s">
        <v>22</v>
      </c>
      <c r="H104" t="s">
        <v>448</v>
      </c>
      <c r="I104" t="s">
        <v>449</v>
      </c>
      <c r="J104" t="s">
        <v>25</v>
      </c>
      <c r="K104" t="s">
        <v>26</v>
      </c>
      <c r="L104" t="s">
        <v>388</v>
      </c>
      <c r="M104" t="s">
        <v>228</v>
      </c>
      <c r="N104">
        <v>55901</v>
      </c>
      <c r="O104" t="s">
        <v>104</v>
      </c>
      <c r="P104" t="s">
        <v>450</v>
      </c>
      <c r="Q104" t="s">
        <v>45</v>
      </c>
      <c r="R104" t="s">
        <v>89</v>
      </c>
      <c r="S104" t="s">
        <v>451</v>
      </c>
      <c r="T104">
        <v>23.92</v>
      </c>
      <c r="U104">
        <v>4</v>
      </c>
      <c r="V104">
        <v>0</v>
      </c>
      <c r="W104">
        <v>11.720800000000001</v>
      </c>
    </row>
    <row r="105" spans="1:23" x14ac:dyDescent="0.35">
      <c r="A105" s="1">
        <v>104</v>
      </c>
      <c r="B105" t="s">
        <v>452</v>
      </c>
      <c r="C105" s="2">
        <v>42321</v>
      </c>
      <c r="D105" s="2">
        <v>42325</v>
      </c>
      <c r="E105" s="2" t="str">
        <f t="shared" si="1"/>
        <v>Nov</v>
      </c>
      <c r="F105" s="5">
        <f>YEAR(Table1[[#This Row],[Order Date]])</f>
        <v>2015</v>
      </c>
      <c r="G105" t="s">
        <v>49</v>
      </c>
      <c r="H105" t="s">
        <v>453</v>
      </c>
      <c r="I105" t="s">
        <v>454</v>
      </c>
      <c r="J105" t="s">
        <v>25</v>
      </c>
      <c r="K105" t="s">
        <v>26</v>
      </c>
      <c r="L105" t="s">
        <v>455</v>
      </c>
      <c r="M105" t="s">
        <v>456</v>
      </c>
      <c r="N105">
        <v>80013</v>
      </c>
      <c r="O105" t="s">
        <v>43</v>
      </c>
      <c r="P105" t="s">
        <v>457</v>
      </c>
      <c r="Q105" t="s">
        <v>70</v>
      </c>
      <c r="R105" t="s">
        <v>160</v>
      </c>
      <c r="S105" t="s">
        <v>458</v>
      </c>
      <c r="T105">
        <v>238.89599999999999</v>
      </c>
      <c r="U105">
        <v>6</v>
      </c>
      <c r="V105">
        <v>0.2</v>
      </c>
      <c r="W105">
        <v>-26.875800000000002</v>
      </c>
    </row>
    <row r="106" spans="1:23" x14ac:dyDescent="0.35">
      <c r="A106" s="1">
        <v>105</v>
      </c>
      <c r="B106" t="s">
        <v>452</v>
      </c>
      <c r="C106" s="2">
        <v>42321</v>
      </c>
      <c r="D106" s="2">
        <v>42325</v>
      </c>
      <c r="E106" s="2" t="str">
        <f t="shared" si="1"/>
        <v>Nov</v>
      </c>
      <c r="F106" s="5">
        <f>YEAR(Table1[[#This Row],[Order Date]])</f>
        <v>2015</v>
      </c>
      <c r="G106" t="s">
        <v>49</v>
      </c>
      <c r="H106" t="s">
        <v>453</v>
      </c>
      <c r="I106" t="s">
        <v>454</v>
      </c>
      <c r="J106" t="s">
        <v>25</v>
      </c>
      <c r="K106" t="s">
        <v>26</v>
      </c>
      <c r="L106" t="s">
        <v>455</v>
      </c>
      <c r="M106" t="s">
        <v>456</v>
      </c>
      <c r="N106">
        <v>80013</v>
      </c>
      <c r="O106" t="s">
        <v>43</v>
      </c>
      <c r="P106" t="s">
        <v>459</v>
      </c>
      <c r="Q106" t="s">
        <v>31</v>
      </c>
      <c r="R106" t="s">
        <v>64</v>
      </c>
      <c r="S106" t="s">
        <v>460</v>
      </c>
      <c r="T106">
        <v>102.36</v>
      </c>
      <c r="U106">
        <v>3</v>
      </c>
      <c r="V106">
        <v>0.2</v>
      </c>
      <c r="W106">
        <v>-3.8384999999999998</v>
      </c>
    </row>
    <row r="107" spans="1:23" x14ac:dyDescent="0.35">
      <c r="A107" s="1">
        <v>106</v>
      </c>
      <c r="B107" t="s">
        <v>452</v>
      </c>
      <c r="C107" s="2">
        <v>42321</v>
      </c>
      <c r="D107" s="2">
        <v>42325</v>
      </c>
      <c r="E107" s="2" t="str">
        <f t="shared" si="1"/>
        <v>Nov</v>
      </c>
      <c r="F107" s="5">
        <f>YEAR(Table1[[#This Row],[Order Date]])</f>
        <v>2015</v>
      </c>
      <c r="G107" t="s">
        <v>49</v>
      </c>
      <c r="H107" t="s">
        <v>453</v>
      </c>
      <c r="I107" t="s">
        <v>454</v>
      </c>
      <c r="J107" t="s">
        <v>25</v>
      </c>
      <c r="K107" t="s">
        <v>26</v>
      </c>
      <c r="L107" t="s">
        <v>455</v>
      </c>
      <c r="M107" t="s">
        <v>456</v>
      </c>
      <c r="N107">
        <v>80013</v>
      </c>
      <c r="O107" t="s">
        <v>43</v>
      </c>
      <c r="P107" t="s">
        <v>461</v>
      </c>
      <c r="Q107" t="s">
        <v>45</v>
      </c>
      <c r="R107" t="s">
        <v>74</v>
      </c>
      <c r="S107" t="s">
        <v>462</v>
      </c>
      <c r="T107">
        <v>36.881999999999998</v>
      </c>
      <c r="U107">
        <v>3</v>
      </c>
      <c r="V107">
        <v>0.7</v>
      </c>
      <c r="W107">
        <v>-25.817399999999999</v>
      </c>
    </row>
    <row r="108" spans="1:23" x14ac:dyDescent="0.35">
      <c r="A108" s="1">
        <v>107</v>
      </c>
      <c r="B108" t="s">
        <v>463</v>
      </c>
      <c r="C108" s="2">
        <v>43062</v>
      </c>
      <c r="D108" s="2">
        <v>43067</v>
      </c>
      <c r="E108" s="2" t="str">
        <f t="shared" si="1"/>
        <v>Nov</v>
      </c>
      <c r="F108" s="5">
        <f>YEAR(Table1[[#This Row],[Order Date]])</f>
        <v>2017</v>
      </c>
      <c r="G108" t="s">
        <v>49</v>
      </c>
      <c r="H108" t="s">
        <v>464</v>
      </c>
      <c r="I108" t="s">
        <v>465</v>
      </c>
      <c r="J108" t="s">
        <v>25</v>
      </c>
      <c r="K108" t="s">
        <v>26</v>
      </c>
      <c r="L108" t="s">
        <v>466</v>
      </c>
      <c r="M108" t="s">
        <v>87</v>
      </c>
      <c r="N108">
        <v>28205</v>
      </c>
      <c r="O108" t="s">
        <v>29</v>
      </c>
      <c r="P108" t="s">
        <v>467</v>
      </c>
      <c r="Q108" t="s">
        <v>70</v>
      </c>
      <c r="R108" t="s">
        <v>160</v>
      </c>
      <c r="S108" t="s">
        <v>468</v>
      </c>
      <c r="T108">
        <v>74.111999999999995</v>
      </c>
      <c r="U108">
        <v>8</v>
      </c>
      <c r="V108">
        <v>0.2</v>
      </c>
      <c r="W108">
        <v>17.601600000000001</v>
      </c>
    </row>
    <row r="109" spans="1:23" x14ac:dyDescent="0.35">
      <c r="A109" s="1">
        <v>108</v>
      </c>
      <c r="B109" t="s">
        <v>463</v>
      </c>
      <c r="C109" s="2">
        <v>43062</v>
      </c>
      <c r="D109" s="2">
        <v>43067</v>
      </c>
      <c r="E109" s="2" t="str">
        <f t="shared" si="1"/>
        <v>Nov</v>
      </c>
      <c r="F109" s="5">
        <f>YEAR(Table1[[#This Row],[Order Date]])</f>
        <v>2017</v>
      </c>
      <c r="G109" t="s">
        <v>49</v>
      </c>
      <c r="H109" t="s">
        <v>464</v>
      </c>
      <c r="I109" t="s">
        <v>465</v>
      </c>
      <c r="J109" t="s">
        <v>25</v>
      </c>
      <c r="K109" t="s">
        <v>26</v>
      </c>
      <c r="L109" t="s">
        <v>466</v>
      </c>
      <c r="M109" t="s">
        <v>87</v>
      </c>
      <c r="N109">
        <v>28205</v>
      </c>
      <c r="O109" t="s">
        <v>29</v>
      </c>
      <c r="P109" t="s">
        <v>469</v>
      </c>
      <c r="Q109" t="s">
        <v>70</v>
      </c>
      <c r="R109" t="s">
        <v>71</v>
      </c>
      <c r="S109" t="s">
        <v>470</v>
      </c>
      <c r="T109">
        <v>27.992000000000001</v>
      </c>
      <c r="U109">
        <v>1</v>
      </c>
      <c r="V109">
        <v>0.2</v>
      </c>
      <c r="W109">
        <v>2.0994000000000002</v>
      </c>
    </row>
    <row r="110" spans="1:23" x14ac:dyDescent="0.35">
      <c r="A110" s="1">
        <v>109</v>
      </c>
      <c r="B110" t="s">
        <v>463</v>
      </c>
      <c r="C110" s="2">
        <v>43062</v>
      </c>
      <c r="D110" s="2">
        <v>43067</v>
      </c>
      <c r="E110" s="2" t="str">
        <f t="shared" si="1"/>
        <v>Nov</v>
      </c>
      <c r="F110" s="5">
        <f>YEAR(Table1[[#This Row],[Order Date]])</f>
        <v>2017</v>
      </c>
      <c r="G110" t="s">
        <v>49</v>
      </c>
      <c r="H110" t="s">
        <v>464</v>
      </c>
      <c r="I110" t="s">
        <v>465</v>
      </c>
      <c r="J110" t="s">
        <v>25</v>
      </c>
      <c r="K110" t="s">
        <v>26</v>
      </c>
      <c r="L110" t="s">
        <v>466</v>
      </c>
      <c r="M110" t="s">
        <v>87</v>
      </c>
      <c r="N110">
        <v>28205</v>
      </c>
      <c r="O110" t="s">
        <v>29</v>
      </c>
      <c r="P110" t="s">
        <v>471</v>
      </c>
      <c r="Q110" t="s">
        <v>45</v>
      </c>
      <c r="R110" t="s">
        <v>67</v>
      </c>
      <c r="S110" t="s">
        <v>472</v>
      </c>
      <c r="T110">
        <v>3.3039999999999998</v>
      </c>
      <c r="U110">
        <v>1</v>
      </c>
      <c r="V110">
        <v>0.2</v>
      </c>
      <c r="W110">
        <v>1.0738000000000001</v>
      </c>
    </row>
    <row r="111" spans="1:23" x14ac:dyDescent="0.35">
      <c r="A111" s="1">
        <v>110</v>
      </c>
      <c r="B111" t="s">
        <v>473</v>
      </c>
      <c r="C111" s="2">
        <v>42292</v>
      </c>
      <c r="D111" s="2">
        <v>42297</v>
      </c>
      <c r="E111" s="2" t="str">
        <f t="shared" si="1"/>
        <v>Oct</v>
      </c>
      <c r="F111" s="5">
        <f>YEAR(Table1[[#This Row],[Order Date]])</f>
        <v>2015</v>
      </c>
      <c r="G111" t="s">
        <v>49</v>
      </c>
      <c r="H111" t="s">
        <v>474</v>
      </c>
      <c r="I111" t="s">
        <v>475</v>
      </c>
      <c r="J111" t="s">
        <v>101</v>
      </c>
      <c r="K111" t="s">
        <v>26</v>
      </c>
      <c r="L111" t="s">
        <v>476</v>
      </c>
      <c r="M111" t="s">
        <v>210</v>
      </c>
      <c r="N111">
        <v>60462</v>
      </c>
      <c r="O111" t="s">
        <v>104</v>
      </c>
      <c r="P111" t="s">
        <v>477</v>
      </c>
      <c r="Q111" t="s">
        <v>70</v>
      </c>
      <c r="R111" t="s">
        <v>160</v>
      </c>
      <c r="S111" t="s">
        <v>478</v>
      </c>
      <c r="T111">
        <v>339.96</v>
      </c>
      <c r="U111">
        <v>5</v>
      </c>
      <c r="V111">
        <v>0.2</v>
      </c>
      <c r="W111">
        <v>67.992000000000004</v>
      </c>
    </row>
    <row r="112" spans="1:23" x14ac:dyDescent="0.35">
      <c r="A112" s="1">
        <v>111</v>
      </c>
      <c r="B112" t="s">
        <v>479</v>
      </c>
      <c r="C112" s="2">
        <v>43094</v>
      </c>
      <c r="D112" s="2">
        <v>43099</v>
      </c>
      <c r="E112" s="2" t="str">
        <f t="shared" si="1"/>
        <v>Dec</v>
      </c>
      <c r="F112" s="5">
        <f>YEAR(Table1[[#This Row],[Order Date]])</f>
        <v>2017</v>
      </c>
      <c r="G112" t="s">
        <v>49</v>
      </c>
      <c r="H112" t="s">
        <v>480</v>
      </c>
      <c r="I112" t="s">
        <v>481</v>
      </c>
      <c r="J112" t="s">
        <v>40</v>
      </c>
      <c r="K112" t="s">
        <v>26</v>
      </c>
      <c r="L112" t="s">
        <v>265</v>
      </c>
      <c r="M112" t="s">
        <v>266</v>
      </c>
      <c r="N112">
        <v>10035</v>
      </c>
      <c r="O112" t="s">
        <v>147</v>
      </c>
      <c r="P112" t="s">
        <v>482</v>
      </c>
      <c r="Q112" t="s">
        <v>31</v>
      </c>
      <c r="R112" t="s">
        <v>64</v>
      </c>
      <c r="S112" t="s">
        <v>483</v>
      </c>
      <c r="T112">
        <v>41.96</v>
      </c>
      <c r="U112">
        <v>2</v>
      </c>
      <c r="V112">
        <v>0</v>
      </c>
      <c r="W112">
        <v>10.909599999999999</v>
      </c>
    </row>
    <row r="113" spans="1:23" x14ac:dyDescent="0.35">
      <c r="A113" s="1">
        <v>112</v>
      </c>
      <c r="B113" t="s">
        <v>484</v>
      </c>
      <c r="C113" s="2">
        <v>42677</v>
      </c>
      <c r="D113" s="2">
        <v>42684</v>
      </c>
      <c r="E113" s="2" t="str">
        <f t="shared" si="1"/>
        <v>Nov</v>
      </c>
      <c r="F113" s="5">
        <f>YEAR(Table1[[#This Row],[Order Date]])</f>
        <v>2016</v>
      </c>
      <c r="G113" t="s">
        <v>49</v>
      </c>
      <c r="H113" t="s">
        <v>485</v>
      </c>
      <c r="I113" t="s">
        <v>486</v>
      </c>
      <c r="J113" t="s">
        <v>25</v>
      </c>
      <c r="K113" t="s">
        <v>26</v>
      </c>
      <c r="L113" t="s">
        <v>487</v>
      </c>
      <c r="M113" t="s">
        <v>488</v>
      </c>
      <c r="N113">
        <v>50322</v>
      </c>
      <c r="O113" t="s">
        <v>104</v>
      </c>
      <c r="P113" t="s">
        <v>489</v>
      </c>
      <c r="Q113" t="s">
        <v>45</v>
      </c>
      <c r="R113" t="s">
        <v>67</v>
      </c>
      <c r="S113" t="s">
        <v>490</v>
      </c>
      <c r="T113">
        <v>75.959999999999994</v>
      </c>
      <c r="U113">
        <v>2</v>
      </c>
      <c r="V113">
        <v>0</v>
      </c>
      <c r="W113">
        <v>22.788</v>
      </c>
    </row>
    <row r="114" spans="1:23" x14ac:dyDescent="0.35">
      <c r="A114" s="1">
        <v>113</v>
      </c>
      <c r="B114" t="s">
        <v>484</v>
      </c>
      <c r="C114" s="2">
        <v>42677</v>
      </c>
      <c r="D114" s="2">
        <v>42684</v>
      </c>
      <c r="E114" s="2" t="str">
        <f t="shared" si="1"/>
        <v>Nov</v>
      </c>
      <c r="F114" s="5">
        <f>YEAR(Table1[[#This Row],[Order Date]])</f>
        <v>2016</v>
      </c>
      <c r="G114" t="s">
        <v>49</v>
      </c>
      <c r="H114" t="s">
        <v>485</v>
      </c>
      <c r="I114" t="s">
        <v>486</v>
      </c>
      <c r="J114" t="s">
        <v>25</v>
      </c>
      <c r="K114" t="s">
        <v>26</v>
      </c>
      <c r="L114" t="s">
        <v>487</v>
      </c>
      <c r="M114" t="s">
        <v>488</v>
      </c>
      <c r="N114">
        <v>50322</v>
      </c>
      <c r="O114" t="s">
        <v>104</v>
      </c>
      <c r="P114" t="s">
        <v>491</v>
      </c>
      <c r="Q114" t="s">
        <v>45</v>
      </c>
      <c r="R114" t="s">
        <v>74</v>
      </c>
      <c r="S114" t="s">
        <v>492</v>
      </c>
      <c r="T114">
        <v>27.24</v>
      </c>
      <c r="U114">
        <v>6</v>
      </c>
      <c r="V114">
        <v>0</v>
      </c>
      <c r="W114">
        <v>13.3476</v>
      </c>
    </row>
    <row r="115" spans="1:23" x14ac:dyDescent="0.35">
      <c r="A115" s="1">
        <v>114</v>
      </c>
      <c r="B115" t="s">
        <v>493</v>
      </c>
      <c r="C115" s="2">
        <v>41876</v>
      </c>
      <c r="D115" s="2">
        <v>41878</v>
      </c>
      <c r="E115" s="2" t="str">
        <f t="shared" si="1"/>
        <v>Aug</v>
      </c>
      <c r="F115" s="5">
        <f>YEAR(Table1[[#This Row],[Order Date]])</f>
        <v>2014</v>
      </c>
      <c r="G115" t="s">
        <v>22</v>
      </c>
      <c r="H115" t="s">
        <v>494</v>
      </c>
      <c r="I115" t="s">
        <v>495</v>
      </c>
      <c r="J115" t="s">
        <v>25</v>
      </c>
      <c r="K115" t="s">
        <v>26</v>
      </c>
      <c r="L115" t="s">
        <v>496</v>
      </c>
      <c r="M115" t="s">
        <v>497</v>
      </c>
      <c r="N115">
        <v>43229</v>
      </c>
      <c r="O115" t="s">
        <v>147</v>
      </c>
      <c r="P115" t="s">
        <v>498</v>
      </c>
      <c r="Q115" t="s">
        <v>45</v>
      </c>
      <c r="R115" t="s">
        <v>268</v>
      </c>
      <c r="S115" t="s">
        <v>499</v>
      </c>
      <c r="T115">
        <v>40.095999999999997</v>
      </c>
      <c r="U115">
        <v>14</v>
      </c>
      <c r="V115">
        <v>0.2</v>
      </c>
      <c r="W115">
        <v>14.534800000000001</v>
      </c>
    </row>
    <row r="116" spans="1:23" x14ac:dyDescent="0.35">
      <c r="A116" s="1">
        <v>115</v>
      </c>
      <c r="B116" t="s">
        <v>493</v>
      </c>
      <c r="C116" s="2">
        <v>41876</v>
      </c>
      <c r="D116" s="2">
        <v>41878</v>
      </c>
      <c r="E116" s="2" t="str">
        <f t="shared" si="1"/>
        <v>Aug</v>
      </c>
      <c r="F116" s="5">
        <f>YEAR(Table1[[#This Row],[Order Date]])</f>
        <v>2014</v>
      </c>
      <c r="G116" t="s">
        <v>22</v>
      </c>
      <c r="H116" t="s">
        <v>494</v>
      </c>
      <c r="I116" t="s">
        <v>495</v>
      </c>
      <c r="J116" t="s">
        <v>25</v>
      </c>
      <c r="K116" t="s">
        <v>26</v>
      </c>
      <c r="L116" t="s">
        <v>496</v>
      </c>
      <c r="M116" t="s">
        <v>497</v>
      </c>
      <c r="N116">
        <v>43229</v>
      </c>
      <c r="O116" t="s">
        <v>147</v>
      </c>
      <c r="P116" t="s">
        <v>500</v>
      </c>
      <c r="Q116" t="s">
        <v>45</v>
      </c>
      <c r="R116" t="s">
        <v>172</v>
      </c>
      <c r="S116" t="s">
        <v>501</v>
      </c>
      <c r="T116">
        <v>4.72</v>
      </c>
      <c r="U116">
        <v>2</v>
      </c>
      <c r="V116">
        <v>0.2</v>
      </c>
      <c r="W116">
        <v>1.6519999999999999</v>
      </c>
    </row>
    <row r="117" spans="1:23" x14ac:dyDescent="0.35">
      <c r="A117" s="1">
        <v>116</v>
      </c>
      <c r="B117" t="s">
        <v>493</v>
      </c>
      <c r="C117" s="2">
        <v>41876</v>
      </c>
      <c r="D117" s="2">
        <v>41878</v>
      </c>
      <c r="E117" s="2" t="str">
        <f t="shared" si="1"/>
        <v>Aug</v>
      </c>
      <c r="F117" s="5">
        <f>YEAR(Table1[[#This Row],[Order Date]])</f>
        <v>2014</v>
      </c>
      <c r="G117" t="s">
        <v>22</v>
      </c>
      <c r="H117" t="s">
        <v>494</v>
      </c>
      <c r="I117" t="s">
        <v>495</v>
      </c>
      <c r="J117" t="s">
        <v>25</v>
      </c>
      <c r="K117" t="s">
        <v>26</v>
      </c>
      <c r="L117" t="s">
        <v>496</v>
      </c>
      <c r="M117" t="s">
        <v>497</v>
      </c>
      <c r="N117">
        <v>43229</v>
      </c>
      <c r="O117" t="s">
        <v>147</v>
      </c>
      <c r="P117" t="s">
        <v>502</v>
      </c>
      <c r="Q117" t="s">
        <v>45</v>
      </c>
      <c r="R117" t="s">
        <v>89</v>
      </c>
      <c r="S117" t="s">
        <v>503</v>
      </c>
      <c r="T117">
        <v>23.975999999999999</v>
      </c>
      <c r="U117">
        <v>3</v>
      </c>
      <c r="V117">
        <v>0.2</v>
      </c>
      <c r="W117">
        <v>7.4924999999999997</v>
      </c>
    </row>
    <row r="118" spans="1:23" x14ac:dyDescent="0.35">
      <c r="A118" s="1">
        <v>117</v>
      </c>
      <c r="B118" t="s">
        <v>493</v>
      </c>
      <c r="C118" s="2">
        <v>41876</v>
      </c>
      <c r="D118" s="2">
        <v>41878</v>
      </c>
      <c r="E118" s="2" t="str">
        <f t="shared" si="1"/>
        <v>Aug</v>
      </c>
      <c r="F118" s="5">
        <f>YEAR(Table1[[#This Row],[Order Date]])</f>
        <v>2014</v>
      </c>
      <c r="G118" t="s">
        <v>22</v>
      </c>
      <c r="H118" t="s">
        <v>494</v>
      </c>
      <c r="I118" t="s">
        <v>495</v>
      </c>
      <c r="J118" t="s">
        <v>25</v>
      </c>
      <c r="K118" t="s">
        <v>26</v>
      </c>
      <c r="L118" t="s">
        <v>496</v>
      </c>
      <c r="M118" t="s">
        <v>497</v>
      </c>
      <c r="N118">
        <v>43229</v>
      </c>
      <c r="O118" t="s">
        <v>147</v>
      </c>
      <c r="P118" t="s">
        <v>504</v>
      </c>
      <c r="Q118" t="s">
        <v>45</v>
      </c>
      <c r="R118" t="s">
        <v>172</v>
      </c>
      <c r="S118" t="s">
        <v>505</v>
      </c>
      <c r="T118">
        <v>130.464</v>
      </c>
      <c r="U118">
        <v>6</v>
      </c>
      <c r="V118">
        <v>0.2</v>
      </c>
      <c r="W118">
        <v>44.031599999999997</v>
      </c>
    </row>
    <row r="119" spans="1:23" x14ac:dyDescent="0.35">
      <c r="A119" s="1">
        <v>118</v>
      </c>
      <c r="B119" t="s">
        <v>506</v>
      </c>
      <c r="C119" s="2">
        <v>42065</v>
      </c>
      <c r="D119" s="2">
        <v>42069</v>
      </c>
      <c r="E119" s="2" t="str">
        <f t="shared" si="1"/>
        <v>Mar</v>
      </c>
      <c r="F119" s="5">
        <f>YEAR(Table1[[#This Row],[Order Date]])</f>
        <v>2015</v>
      </c>
      <c r="G119" t="s">
        <v>49</v>
      </c>
      <c r="H119" t="s">
        <v>507</v>
      </c>
      <c r="I119" t="s">
        <v>508</v>
      </c>
      <c r="J119" t="s">
        <v>25</v>
      </c>
      <c r="K119" t="s">
        <v>26</v>
      </c>
      <c r="L119" t="s">
        <v>94</v>
      </c>
      <c r="M119" t="s">
        <v>95</v>
      </c>
      <c r="N119">
        <v>98103</v>
      </c>
      <c r="O119" t="s">
        <v>43</v>
      </c>
      <c r="P119" t="s">
        <v>509</v>
      </c>
      <c r="Q119" t="s">
        <v>31</v>
      </c>
      <c r="R119" t="s">
        <v>55</v>
      </c>
      <c r="S119" t="s">
        <v>510</v>
      </c>
      <c r="T119">
        <v>787.53</v>
      </c>
      <c r="U119">
        <v>3</v>
      </c>
      <c r="V119">
        <v>0</v>
      </c>
      <c r="W119">
        <v>165.38130000000001</v>
      </c>
    </row>
    <row r="120" spans="1:23" x14ac:dyDescent="0.35">
      <c r="A120" s="1">
        <v>119</v>
      </c>
      <c r="B120" t="s">
        <v>511</v>
      </c>
      <c r="C120" s="2">
        <v>42099</v>
      </c>
      <c r="D120" s="2">
        <v>42104</v>
      </c>
      <c r="E120" s="2" t="str">
        <f t="shared" si="1"/>
        <v>Apr</v>
      </c>
      <c r="F120" s="5">
        <f>YEAR(Table1[[#This Row],[Order Date]])</f>
        <v>2015</v>
      </c>
      <c r="G120" t="s">
        <v>49</v>
      </c>
      <c r="H120" t="s">
        <v>512</v>
      </c>
      <c r="I120" t="s">
        <v>513</v>
      </c>
      <c r="J120" t="s">
        <v>40</v>
      </c>
      <c r="K120" t="s">
        <v>26</v>
      </c>
      <c r="L120" t="s">
        <v>514</v>
      </c>
      <c r="M120" t="s">
        <v>334</v>
      </c>
      <c r="N120">
        <v>37620</v>
      </c>
      <c r="O120" t="s">
        <v>29</v>
      </c>
      <c r="P120" t="s">
        <v>515</v>
      </c>
      <c r="Q120" t="s">
        <v>45</v>
      </c>
      <c r="R120" t="s">
        <v>74</v>
      </c>
      <c r="S120" t="s">
        <v>516</v>
      </c>
      <c r="T120">
        <v>157.79400000000001</v>
      </c>
      <c r="U120">
        <v>1</v>
      </c>
      <c r="V120">
        <v>0.7</v>
      </c>
      <c r="W120">
        <v>-115.71559999999999</v>
      </c>
    </row>
    <row r="121" spans="1:23" x14ac:dyDescent="0.35">
      <c r="A121" s="1">
        <v>120</v>
      </c>
      <c r="B121" t="s">
        <v>517</v>
      </c>
      <c r="C121" s="2">
        <v>42533</v>
      </c>
      <c r="D121" s="2">
        <v>42536</v>
      </c>
      <c r="E121" s="2" t="str">
        <f t="shared" si="1"/>
        <v>Jun</v>
      </c>
      <c r="F121" s="5">
        <f>YEAR(Table1[[#This Row],[Order Date]])</f>
        <v>2016</v>
      </c>
      <c r="G121" t="s">
        <v>187</v>
      </c>
      <c r="H121" t="s">
        <v>518</v>
      </c>
      <c r="I121" t="s">
        <v>519</v>
      </c>
      <c r="J121" t="s">
        <v>25</v>
      </c>
      <c r="K121" t="s">
        <v>26</v>
      </c>
      <c r="L121" t="s">
        <v>520</v>
      </c>
      <c r="M121" t="s">
        <v>244</v>
      </c>
      <c r="N121">
        <v>19805</v>
      </c>
      <c r="O121" t="s">
        <v>147</v>
      </c>
      <c r="P121" t="s">
        <v>521</v>
      </c>
      <c r="Q121" t="s">
        <v>31</v>
      </c>
      <c r="R121" t="s">
        <v>64</v>
      </c>
      <c r="S121" t="s">
        <v>522</v>
      </c>
      <c r="T121">
        <v>47.04</v>
      </c>
      <c r="U121">
        <v>3</v>
      </c>
      <c r="V121">
        <v>0</v>
      </c>
      <c r="W121">
        <v>18.345600000000001</v>
      </c>
    </row>
    <row r="122" spans="1:23" x14ac:dyDescent="0.35">
      <c r="A122" s="1">
        <v>121</v>
      </c>
      <c r="B122" t="s">
        <v>517</v>
      </c>
      <c r="C122" s="2">
        <v>42533</v>
      </c>
      <c r="D122" s="2">
        <v>42536</v>
      </c>
      <c r="E122" s="2" t="str">
        <f t="shared" si="1"/>
        <v>Jun</v>
      </c>
      <c r="F122" s="5">
        <f>YEAR(Table1[[#This Row],[Order Date]])</f>
        <v>2016</v>
      </c>
      <c r="G122" t="s">
        <v>187</v>
      </c>
      <c r="H122" t="s">
        <v>518</v>
      </c>
      <c r="I122" t="s">
        <v>519</v>
      </c>
      <c r="J122" t="s">
        <v>25</v>
      </c>
      <c r="K122" t="s">
        <v>26</v>
      </c>
      <c r="L122" t="s">
        <v>520</v>
      </c>
      <c r="M122" t="s">
        <v>244</v>
      </c>
      <c r="N122">
        <v>19805</v>
      </c>
      <c r="O122" t="s">
        <v>147</v>
      </c>
      <c r="P122" t="s">
        <v>73</v>
      </c>
      <c r="Q122" t="s">
        <v>45</v>
      </c>
      <c r="R122" t="s">
        <v>74</v>
      </c>
      <c r="S122" t="s">
        <v>75</v>
      </c>
      <c r="T122">
        <v>30.84</v>
      </c>
      <c r="U122">
        <v>4</v>
      </c>
      <c r="V122">
        <v>0</v>
      </c>
      <c r="W122">
        <v>13.878</v>
      </c>
    </row>
    <row r="123" spans="1:23" x14ac:dyDescent="0.35">
      <c r="A123" s="1">
        <v>122</v>
      </c>
      <c r="B123" t="s">
        <v>517</v>
      </c>
      <c r="C123" s="2">
        <v>42533</v>
      </c>
      <c r="D123" s="2">
        <v>42536</v>
      </c>
      <c r="E123" s="2" t="str">
        <f t="shared" si="1"/>
        <v>Jun</v>
      </c>
      <c r="F123" s="5">
        <f>YEAR(Table1[[#This Row],[Order Date]])</f>
        <v>2016</v>
      </c>
      <c r="G123" t="s">
        <v>187</v>
      </c>
      <c r="H123" t="s">
        <v>518</v>
      </c>
      <c r="I123" t="s">
        <v>519</v>
      </c>
      <c r="J123" t="s">
        <v>25</v>
      </c>
      <c r="K123" t="s">
        <v>26</v>
      </c>
      <c r="L123" t="s">
        <v>520</v>
      </c>
      <c r="M123" t="s">
        <v>244</v>
      </c>
      <c r="N123">
        <v>19805</v>
      </c>
      <c r="O123" t="s">
        <v>147</v>
      </c>
      <c r="P123" t="s">
        <v>523</v>
      </c>
      <c r="Q123" t="s">
        <v>45</v>
      </c>
      <c r="R123" t="s">
        <v>58</v>
      </c>
      <c r="S123" t="s">
        <v>524</v>
      </c>
      <c r="T123">
        <v>226.56</v>
      </c>
      <c r="U123">
        <v>6</v>
      </c>
      <c r="V123">
        <v>0</v>
      </c>
      <c r="W123">
        <v>63.436799999999998</v>
      </c>
    </row>
    <row r="124" spans="1:23" x14ac:dyDescent="0.35">
      <c r="A124" s="1">
        <v>123</v>
      </c>
      <c r="B124" t="s">
        <v>517</v>
      </c>
      <c r="C124" s="2">
        <v>42533</v>
      </c>
      <c r="D124" s="2">
        <v>42536</v>
      </c>
      <c r="E124" s="2" t="str">
        <f t="shared" si="1"/>
        <v>Jun</v>
      </c>
      <c r="F124" s="5">
        <f>YEAR(Table1[[#This Row],[Order Date]])</f>
        <v>2016</v>
      </c>
      <c r="G124" t="s">
        <v>187</v>
      </c>
      <c r="H124" t="s">
        <v>518</v>
      </c>
      <c r="I124" t="s">
        <v>519</v>
      </c>
      <c r="J124" t="s">
        <v>25</v>
      </c>
      <c r="K124" t="s">
        <v>26</v>
      </c>
      <c r="L124" t="s">
        <v>520</v>
      </c>
      <c r="M124" t="s">
        <v>244</v>
      </c>
      <c r="N124">
        <v>19805</v>
      </c>
      <c r="O124" t="s">
        <v>147</v>
      </c>
      <c r="P124" t="s">
        <v>525</v>
      </c>
      <c r="Q124" t="s">
        <v>45</v>
      </c>
      <c r="R124" t="s">
        <v>172</v>
      </c>
      <c r="S124" t="s">
        <v>526</v>
      </c>
      <c r="T124">
        <v>115.02</v>
      </c>
      <c r="U124">
        <v>9</v>
      </c>
      <c r="V124">
        <v>0</v>
      </c>
      <c r="W124">
        <v>51.759</v>
      </c>
    </row>
    <row r="125" spans="1:23" x14ac:dyDescent="0.35">
      <c r="A125" s="1">
        <v>124</v>
      </c>
      <c r="B125" t="s">
        <v>517</v>
      </c>
      <c r="C125" s="2">
        <v>42533</v>
      </c>
      <c r="D125" s="2">
        <v>42536</v>
      </c>
      <c r="E125" s="2" t="str">
        <f t="shared" si="1"/>
        <v>Jun</v>
      </c>
      <c r="F125" s="5">
        <f>YEAR(Table1[[#This Row],[Order Date]])</f>
        <v>2016</v>
      </c>
      <c r="G125" t="s">
        <v>187</v>
      </c>
      <c r="H125" t="s">
        <v>518</v>
      </c>
      <c r="I125" t="s">
        <v>519</v>
      </c>
      <c r="J125" t="s">
        <v>25</v>
      </c>
      <c r="K125" t="s">
        <v>26</v>
      </c>
      <c r="L125" t="s">
        <v>520</v>
      </c>
      <c r="M125" t="s">
        <v>244</v>
      </c>
      <c r="N125">
        <v>19805</v>
      </c>
      <c r="O125" t="s">
        <v>147</v>
      </c>
      <c r="P125" t="s">
        <v>527</v>
      </c>
      <c r="Q125" t="s">
        <v>70</v>
      </c>
      <c r="R125" t="s">
        <v>71</v>
      </c>
      <c r="S125" t="s">
        <v>528</v>
      </c>
      <c r="T125">
        <v>68.040000000000006</v>
      </c>
      <c r="U125">
        <v>7</v>
      </c>
      <c r="V125">
        <v>0</v>
      </c>
      <c r="W125">
        <v>19.7316</v>
      </c>
    </row>
    <row r="126" spans="1:23" x14ac:dyDescent="0.35">
      <c r="A126" s="1">
        <v>125</v>
      </c>
      <c r="B126" t="s">
        <v>529</v>
      </c>
      <c r="C126" s="2">
        <v>41999</v>
      </c>
      <c r="D126" s="2">
        <v>42001</v>
      </c>
      <c r="E126" s="2" t="str">
        <f t="shared" si="1"/>
        <v>Dec</v>
      </c>
      <c r="F126" s="5">
        <f>YEAR(Table1[[#This Row],[Order Date]])</f>
        <v>2014</v>
      </c>
      <c r="G126" t="s">
        <v>22</v>
      </c>
      <c r="H126" t="s">
        <v>530</v>
      </c>
      <c r="I126" t="s">
        <v>531</v>
      </c>
      <c r="J126" t="s">
        <v>101</v>
      </c>
      <c r="K126" t="s">
        <v>26</v>
      </c>
      <c r="L126" t="s">
        <v>183</v>
      </c>
      <c r="M126" t="s">
        <v>103</v>
      </c>
      <c r="N126">
        <v>77041</v>
      </c>
      <c r="O126" t="s">
        <v>104</v>
      </c>
      <c r="P126" t="s">
        <v>532</v>
      </c>
      <c r="Q126" t="s">
        <v>31</v>
      </c>
      <c r="R126" t="s">
        <v>35</v>
      </c>
      <c r="S126" t="s">
        <v>533</v>
      </c>
      <c r="T126">
        <v>600.55799999999999</v>
      </c>
      <c r="U126">
        <v>3</v>
      </c>
      <c r="V126">
        <v>0.3</v>
      </c>
      <c r="W126">
        <v>-8.5793999999999997</v>
      </c>
    </row>
    <row r="127" spans="1:23" x14ac:dyDescent="0.35">
      <c r="A127" s="1">
        <v>126</v>
      </c>
      <c r="B127" t="s">
        <v>534</v>
      </c>
      <c r="C127" s="2">
        <v>41902</v>
      </c>
      <c r="D127" s="2">
        <v>41907</v>
      </c>
      <c r="E127" s="2" t="str">
        <f t="shared" si="1"/>
        <v>Sep</v>
      </c>
      <c r="F127" s="5">
        <f>YEAR(Table1[[#This Row],[Order Date]])</f>
        <v>2014</v>
      </c>
      <c r="G127" t="s">
        <v>49</v>
      </c>
      <c r="H127" t="s">
        <v>535</v>
      </c>
      <c r="I127" t="s">
        <v>536</v>
      </c>
      <c r="J127" t="s">
        <v>25</v>
      </c>
      <c r="K127" t="s">
        <v>26</v>
      </c>
      <c r="L127" t="s">
        <v>537</v>
      </c>
      <c r="M127" t="s">
        <v>210</v>
      </c>
      <c r="N127">
        <v>61701</v>
      </c>
      <c r="O127" t="s">
        <v>104</v>
      </c>
      <c r="P127" t="s">
        <v>538</v>
      </c>
      <c r="Q127" t="s">
        <v>31</v>
      </c>
      <c r="R127" t="s">
        <v>55</v>
      </c>
      <c r="S127" t="s">
        <v>539</v>
      </c>
      <c r="T127">
        <v>617.70000000000005</v>
      </c>
      <c r="U127">
        <v>6</v>
      </c>
      <c r="V127">
        <v>0.5</v>
      </c>
      <c r="W127">
        <v>-407.68200000000002</v>
      </c>
    </row>
    <row r="128" spans="1:23" x14ac:dyDescent="0.35">
      <c r="A128" s="1">
        <v>127</v>
      </c>
      <c r="B128" t="s">
        <v>540</v>
      </c>
      <c r="C128" s="2">
        <v>43044</v>
      </c>
      <c r="D128" s="2">
        <v>43051</v>
      </c>
      <c r="E128" s="2" t="str">
        <f t="shared" si="1"/>
        <v>Nov</v>
      </c>
      <c r="F128" s="5">
        <f>YEAR(Table1[[#This Row],[Order Date]])</f>
        <v>2017</v>
      </c>
      <c r="G128" t="s">
        <v>49</v>
      </c>
      <c r="H128" t="s">
        <v>541</v>
      </c>
      <c r="I128" t="s">
        <v>542</v>
      </c>
      <c r="J128" t="s">
        <v>25</v>
      </c>
      <c r="K128" t="s">
        <v>26</v>
      </c>
      <c r="L128" t="s">
        <v>543</v>
      </c>
      <c r="M128" t="s">
        <v>309</v>
      </c>
      <c r="N128">
        <v>85023</v>
      </c>
      <c r="O128" t="s">
        <v>43</v>
      </c>
      <c r="P128" t="s">
        <v>544</v>
      </c>
      <c r="Q128" t="s">
        <v>45</v>
      </c>
      <c r="R128" t="s">
        <v>74</v>
      </c>
      <c r="S128" t="s">
        <v>545</v>
      </c>
      <c r="T128">
        <v>2.3879999999999999</v>
      </c>
      <c r="U128">
        <v>2</v>
      </c>
      <c r="V128">
        <v>0.7</v>
      </c>
      <c r="W128">
        <v>-1.8308</v>
      </c>
    </row>
    <row r="129" spans="1:23" x14ac:dyDescent="0.35">
      <c r="A129" s="1">
        <v>128</v>
      </c>
      <c r="B129" t="s">
        <v>540</v>
      </c>
      <c r="C129" s="2">
        <v>43044</v>
      </c>
      <c r="D129" s="2">
        <v>43051</v>
      </c>
      <c r="E129" s="2" t="str">
        <f t="shared" si="1"/>
        <v>Nov</v>
      </c>
      <c r="F129" s="5">
        <f>YEAR(Table1[[#This Row],[Order Date]])</f>
        <v>2017</v>
      </c>
      <c r="G129" t="s">
        <v>49</v>
      </c>
      <c r="H129" t="s">
        <v>541</v>
      </c>
      <c r="I129" t="s">
        <v>542</v>
      </c>
      <c r="J129" t="s">
        <v>25</v>
      </c>
      <c r="K129" t="s">
        <v>26</v>
      </c>
      <c r="L129" t="s">
        <v>543</v>
      </c>
      <c r="M129" t="s">
        <v>309</v>
      </c>
      <c r="N129">
        <v>85023</v>
      </c>
      <c r="O129" t="s">
        <v>43</v>
      </c>
      <c r="P129" t="s">
        <v>546</v>
      </c>
      <c r="Q129" t="s">
        <v>45</v>
      </c>
      <c r="R129" t="s">
        <v>58</v>
      </c>
      <c r="S129" t="s">
        <v>547</v>
      </c>
      <c r="T129">
        <v>243.99199999999999</v>
      </c>
      <c r="U129">
        <v>7</v>
      </c>
      <c r="V129">
        <v>0.2</v>
      </c>
      <c r="W129">
        <v>30.498999999999999</v>
      </c>
    </row>
    <row r="130" spans="1:23" x14ac:dyDescent="0.35">
      <c r="A130" s="1">
        <v>129</v>
      </c>
      <c r="B130" t="s">
        <v>548</v>
      </c>
      <c r="C130" s="2">
        <v>42680</v>
      </c>
      <c r="D130" s="2">
        <v>42684</v>
      </c>
      <c r="E130" s="2" t="str">
        <f t="shared" ref="E130:E193" si="2">TEXT(C130,"mmm")</f>
        <v>Nov</v>
      </c>
      <c r="F130" s="5">
        <f>YEAR(Table1[[#This Row],[Order Date]])</f>
        <v>2016</v>
      </c>
      <c r="G130" t="s">
        <v>22</v>
      </c>
      <c r="H130" t="s">
        <v>549</v>
      </c>
      <c r="I130" t="s">
        <v>550</v>
      </c>
      <c r="J130" t="s">
        <v>101</v>
      </c>
      <c r="K130" t="s">
        <v>26</v>
      </c>
      <c r="L130" t="s">
        <v>41</v>
      </c>
      <c r="M130" t="s">
        <v>42</v>
      </c>
      <c r="N130">
        <v>90004</v>
      </c>
      <c r="O130" t="s">
        <v>43</v>
      </c>
      <c r="P130" t="s">
        <v>303</v>
      </c>
      <c r="Q130" t="s">
        <v>31</v>
      </c>
      <c r="R130" t="s">
        <v>35</v>
      </c>
      <c r="S130" t="s">
        <v>551</v>
      </c>
      <c r="T130">
        <v>81.424000000000007</v>
      </c>
      <c r="U130">
        <v>2</v>
      </c>
      <c r="V130">
        <v>0.2</v>
      </c>
      <c r="W130">
        <v>-9.1601999999999997</v>
      </c>
    </row>
    <row r="131" spans="1:23" x14ac:dyDescent="0.35">
      <c r="A131" s="1">
        <v>130</v>
      </c>
      <c r="B131" t="s">
        <v>548</v>
      </c>
      <c r="C131" s="2">
        <v>42680</v>
      </c>
      <c r="D131" s="2">
        <v>42684</v>
      </c>
      <c r="E131" s="2" t="str">
        <f t="shared" si="2"/>
        <v>Nov</v>
      </c>
      <c r="F131" s="5">
        <f>YEAR(Table1[[#This Row],[Order Date]])</f>
        <v>2016</v>
      </c>
      <c r="G131" t="s">
        <v>22</v>
      </c>
      <c r="H131" t="s">
        <v>549</v>
      </c>
      <c r="I131" t="s">
        <v>550</v>
      </c>
      <c r="J131" t="s">
        <v>101</v>
      </c>
      <c r="K131" t="s">
        <v>26</v>
      </c>
      <c r="L131" t="s">
        <v>41</v>
      </c>
      <c r="M131" t="s">
        <v>42</v>
      </c>
      <c r="N131">
        <v>90004</v>
      </c>
      <c r="O131" t="s">
        <v>43</v>
      </c>
      <c r="P131" t="s">
        <v>552</v>
      </c>
      <c r="Q131" t="s">
        <v>31</v>
      </c>
      <c r="R131" t="s">
        <v>64</v>
      </c>
      <c r="S131" t="s">
        <v>553</v>
      </c>
      <c r="T131">
        <v>238.56</v>
      </c>
      <c r="U131">
        <v>3</v>
      </c>
      <c r="V131">
        <v>0</v>
      </c>
      <c r="W131">
        <v>26.241599999999998</v>
      </c>
    </row>
    <row r="132" spans="1:23" x14ac:dyDescent="0.35">
      <c r="A132" s="1">
        <v>131</v>
      </c>
      <c r="B132" t="s">
        <v>554</v>
      </c>
      <c r="C132" s="2">
        <v>42768</v>
      </c>
      <c r="D132" s="2">
        <v>42771</v>
      </c>
      <c r="E132" s="2" t="str">
        <f t="shared" si="2"/>
        <v>Feb</v>
      </c>
      <c r="F132" s="5">
        <f>YEAR(Table1[[#This Row],[Order Date]])</f>
        <v>2017</v>
      </c>
      <c r="G132" t="s">
        <v>187</v>
      </c>
      <c r="H132" t="s">
        <v>555</v>
      </c>
      <c r="I132" t="s">
        <v>556</v>
      </c>
      <c r="J132" t="s">
        <v>40</v>
      </c>
      <c r="K132" t="s">
        <v>26</v>
      </c>
      <c r="L132" t="s">
        <v>496</v>
      </c>
      <c r="M132" t="s">
        <v>497</v>
      </c>
      <c r="N132">
        <v>43229</v>
      </c>
      <c r="O132" t="s">
        <v>147</v>
      </c>
      <c r="P132" t="s">
        <v>557</v>
      </c>
      <c r="Q132" t="s">
        <v>70</v>
      </c>
      <c r="R132" t="s">
        <v>71</v>
      </c>
      <c r="S132" t="s">
        <v>558</v>
      </c>
      <c r="T132">
        <v>59.97</v>
      </c>
      <c r="U132">
        <v>5</v>
      </c>
      <c r="V132">
        <v>0.4</v>
      </c>
      <c r="W132">
        <v>-11.994</v>
      </c>
    </row>
    <row r="133" spans="1:23" x14ac:dyDescent="0.35">
      <c r="A133" s="1">
        <v>132</v>
      </c>
      <c r="B133" t="s">
        <v>554</v>
      </c>
      <c r="C133" s="2">
        <v>42768</v>
      </c>
      <c r="D133" s="2">
        <v>42771</v>
      </c>
      <c r="E133" s="2" t="str">
        <f t="shared" si="2"/>
        <v>Feb</v>
      </c>
      <c r="F133" s="5">
        <f>YEAR(Table1[[#This Row],[Order Date]])</f>
        <v>2017</v>
      </c>
      <c r="G133" t="s">
        <v>187</v>
      </c>
      <c r="H133" t="s">
        <v>555</v>
      </c>
      <c r="I133" t="s">
        <v>556</v>
      </c>
      <c r="J133" t="s">
        <v>40</v>
      </c>
      <c r="K133" t="s">
        <v>26</v>
      </c>
      <c r="L133" t="s">
        <v>496</v>
      </c>
      <c r="M133" t="s">
        <v>497</v>
      </c>
      <c r="N133">
        <v>43229</v>
      </c>
      <c r="O133" t="s">
        <v>147</v>
      </c>
      <c r="P133" t="s">
        <v>559</v>
      </c>
      <c r="Q133" t="s">
        <v>45</v>
      </c>
      <c r="R133" t="s">
        <v>89</v>
      </c>
      <c r="S133" t="s">
        <v>560</v>
      </c>
      <c r="T133">
        <v>78.304000000000002</v>
      </c>
      <c r="U133">
        <v>2</v>
      </c>
      <c r="V133">
        <v>0.2</v>
      </c>
      <c r="W133">
        <v>29.364000000000001</v>
      </c>
    </row>
    <row r="134" spans="1:23" x14ac:dyDescent="0.35">
      <c r="A134" s="1">
        <v>133</v>
      </c>
      <c r="B134" t="s">
        <v>554</v>
      </c>
      <c r="C134" s="2">
        <v>42768</v>
      </c>
      <c r="D134" s="2">
        <v>42771</v>
      </c>
      <c r="E134" s="2" t="str">
        <f t="shared" si="2"/>
        <v>Feb</v>
      </c>
      <c r="F134" s="5">
        <f>YEAR(Table1[[#This Row],[Order Date]])</f>
        <v>2017</v>
      </c>
      <c r="G134" t="s">
        <v>187</v>
      </c>
      <c r="H134" t="s">
        <v>555</v>
      </c>
      <c r="I134" t="s">
        <v>556</v>
      </c>
      <c r="J134" t="s">
        <v>40</v>
      </c>
      <c r="K134" t="s">
        <v>26</v>
      </c>
      <c r="L134" t="s">
        <v>496</v>
      </c>
      <c r="M134" t="s">
        <v>497</v>
      </c>
      <c r="N134">
        <v>43229</v>
      </c>
      <c r="O134" t="s">
        <v>147</v>
      </c>
      <c r="P134" t="s">
        <v>561</v>
      </c>
      <c r="Q134" t="s">
        <v>45</v>
      </c>
      <c r="R134" t="s">
        <v>268</v>
      </c>
      <c r="S134" t="s">
        <v>562</v>
      </c>
      <c r="T134">
        <v>21.456</v>
      </c>
      <c r="U134">
        <v>9</v>
      </c>
      <c r="V134">
        <v>0.2</v>
      </c>
      <c r="W134">
        <v>6.9732000000000003</v>
      </c>
    </row>
    <row r="135" spans="1:23" x14ac:dyDescent="0.35">
      <c r="A135" s="1">
        <v>134</v>
      </c>
      <c r="B135" t="s">
        <v>563</v>
      </c>
      <c r="C135" s="2">
        <v>42656</v>
      </c>
      <c r="D135" s="2">
        <v>42662</v>
      </c>
      <c r="E135" s="2" t="str">
        <f t="shared" si="2"/>
        <v>Oct</v>
      </c>
      <c r="F135" s="5">
        <f>YEAR(Table1[[#This Row],[Order Date]])</f>
        <v>2016</v>
      </c>
      <c r="G135" t="s">
        <v>49</v>
      </c>
      <c r="H135" t="s">
        <v>564</v>
      </c>
      <c r="I135" t="s">
        <v>565</v>
      </c>
      <c r="J135" t="s">
        <v>25</v>
      </c>
      <c r="K135" t="s">
        <v>26</v>
      </c>
      <c r="L135" t="s">
        <v>566</v>
      </c>
      <c r="M135" t="s">
        <v>42</v>
      </c>
      <c r="N135">
        <v>95661</v>
      </c>
      <c r="O135" t="s">
        <v>43</v>
      </c>
      <c r="P135" t="s">
        <v>567</v>
      </c>
      <c r="Q135" t="s">
        <v>45</v>
      </c>
      <c r="R135" t="s">
        <v>89</v>
      </c>
      <c r="S135" t="s">
        <v>568</v>
      </c>
      <c r="T135">
        <v>20.04</v>
      </c>
      <c r="U135">
        <v>3</v>
      </c>
      <c r="V135">
        <v>0</v>
      </c>
      <c r="W135">
        <v>9.6191999999999993</v>
      </c>
    </row>
    <row r="136" spans="1:23" x14ac:dyDescent="0.35">
      <c r="A136" s="1">
        <v>135</v>
      </c>
      <c r="B136" t="s">
        <v>563</v>
      </c>
      <c r="C136" s="2">
        <v>42656</v>
      </c>
      <c r="D136" s="2">
        <v>42662</v>
      </c>
      <c r="E136" s="2" t="str">
        <f t="shared" si="2"/>
        <v>Oct</v>
      </c>
      <c r="F136" s="5">
        <f>YEAR(Table1[[#This Row],[Order Date]])</f>
        <v>2016</v>
      </c>
      <c r="G136" t="s">
        <v>49</v>
      </c>
      <c r="H136" t="s">
        <v>564</v>
      </c>
      <c r="I136" t="s">
        <v>565</v>
      </c>
      <c r="J136" t="s">
        <v>25</v>
      </c>
      <c r="K136" t="s">
        <v>26</v>
      </c>
      <c r="L136" t="s">
        <v>566</v>
      </c>
      <c r="M136" t="s">
        <v>42</v>
      </c>
      <c r="N136">
        <v>95661</v>
      </c>
      <c r="O136" t="s">
        <v>43</v>
      </c>
      <c r="P136" t="s">
        <v>569</v>
      </c>
      <c r="Q136" t="s">
        <v>45</v>
      </c>
      <c r="R136" t="s">
        <v>89</v>
      </c>
      <c r="S136" t="s">
        <v>570</v>
      </c>
      <c r="T136">
        <v>35.44</v>
      </c>
      <c r="U136">
        <v>1</v>
      </c>
      <c r="V136">
        <v>0</v>
      </c>
      <c r="W136">
        <v>16.6568</v>
      </c>
    </row>
    <row r="137" spans="1:23" x14ac:dyDescent="0.35">
      <c r="A137" s="1">
        <v>136</v>
      </c>
      <c r="B137" t="s">
        <v>563</v>
      </c>
      <c r="C137" s="2">
        <v>42656</v>
      </c>
      <c r="D137" s="2">
        <v>42662</v>
      </c>
      <c r="E137" s="2" t="str">
        <f t="shared" si="2"/>
        <v>Oct</v>
      </c>
      <c r="F137" s="5">
        <f>YEAR(Table1[[#This Row],[Order Date]])</f>
        <v>2016</v>
      </c>
      <c r="G137" t="s">
        <v>49</v>
      </c>
      <c r="H137" t="s">
        <v>564</v>
      </c>
      <c r="I137" t="s">
        <v>565</v>
      </c>
      <c r="J137" t="s">
        <v>25</v>
      </c>
      <c r="K137" t="s">
        <v>26</v>
      </c>
      <c r="L137" t="s">
        <v>566</v>
      </c>
      <c r="M137" t="s">
        <v>42</v>
      </c>
      <c r="N137">
        <v>95661</v>
      </c>
      <c r="O137" t="s">
        <v>43</v>
      </c>
      <c r="P137" t="s">
        <v>571</v>
      </c>
      <c r="Q137" t="s">
        <v>45</v>
      </c>
      <c r="R137" t="s">
        <v>67</v>
      </c>
      <c r="S137" t="s">
        <v>572</v>
      </c>
      <c r="T137">
        <v>11.52</v>
      </c>
      <c r="U137">
        <v>4</v>
      </c>
      <c r="V137">
        <v>0</v>
      </c>
      <c r="W137">
        <v>3.456</v>
      </c>
    </row>
    <row r="138" spans="1:23" x14ac:dyDescent="0.35">
      <c r="A138" s="1">
        <v>137</v>
      </c>
      <c r="B138" t="s">
        <v>563</v>
      </c>
      <c r="C138" s="2">
        <v>42656</v>
      </c>
      <c r="D138" s="2">
        <v>42662</v>
      </c>
      <c r="E138" s="2" t="str">
        <f t="shared" si="2"/>
        <v>Oct</v>
      </c>
      <c r="F138" s="5">
        <f>YEAR(Table1[[#This Row],[Order Date]])</f>
        <v>2016</v>
      </c>
      <c r="G138" t="s">
        <v>49</v>
      </c>
      <c r="H138" t="s">
        <v>564</v>
      </c>
      <c r="I138" t="s">
        <v>565</v>
      </c>
      <c r="J138" t="s">
        <v>25</v>
      </c>
      <c r="K138" t="s">
        <v>26</v>
      </c>
      <c r="L138" t="s">
        <v>566</v>
      </c>
      <c r="M138" t="s">
        <v>42</v>
      </c>
      <c r="N138">
        <v>95661</v>
      </c>
      <c r="O138" t="s">
        <v>43</v>
      </c>
      <c r="P138" t="s">
        <v>573</v>
      </c>
      <c r="Q138" t="s">
        <v>45</v>
      </c>
      <c r="R138" t="s">
        <v>268</v>
      </c>
      <c r="S138" t="s">
        <v>574</v>
      </c>
      <c r="T138">
        <v>4.0199999999999996</v>
      </c>
      <c r="U138">
        <v>2</v>
      </c>
      <c r="V138">
        <v>0</v>
      </c>
      <c r="W138">
        <v>1.9698</v>
      </c>
    </row>
    <row r="139" spans="1:23" x14ac:dyDescent="0.35">
      <c r="A139" s="1">
        <v>138</v>
      </c>
      <c r="B139" t="s">
        <v>563</v>
      </c>
      <c r="C139" s="2">
        <v>42656</v>
      </c>
      <c r="D139" s="2">
        <v>42662</v>
      </c>
      <c r="E139" s="2" t="str">
        <f t="shared" si="2"/>
        <v>Oct</v>
      </c>
      <c r="F139" s="5">
        <f>YEAR(Table1[[#This Row],[Order Date]])</f>
        <v>2016</v>
      </c>
      <c r="G139" t="s">
        <v>49</v>
      </c>
      <c r="H139" t="s">
        <v>564</v>
      </c>
      <c r="I139" t="s">
        <v>565</v>
      </c>
      <c r="J139" t="s">
        <v>25</v>
      </c>
      <c r="K139" t="s">
        <v>26</v>
      </c>
      <c r="L139" t="s">
        <v>566</v>
      </c>
      <c r="M139" t="s">
        <v>42</v>
      </c>
      <c r="N139">
        <v>95661</v>
      </c>
      <c r="O139" t="s">
        <v>43</v>
      </c>
      <c r="P139" t="s">
        <v>575</v>
      </c>
      <c r="Q139" t="s">
        <v>45</v>
      </c>
      <c r="R139" t="s">
        <v>74</v>
      </c>
      <c r="S139" t="s">
        <v>576</v>
      </c>
      <c r="T139">
        <v>76.176000000000002</v>
      </c>
      <c r="U139">
        <v>3</v>
      </c>
      <c r="V139">
        <v>0.2</v>
      </c>
      <c r="W139">
        <v>26.6616</v>
      </c>
    </row>
    <row r="140" spans="1:23" x14ac:dyDescent="0.35">
      <c r="A140" s="1">
        <v>139</v>
      </c>
      <c r="B140" t="s">
        <v>563</v>
      </c>
      <c r="C140" s="2">
        <v>42656</v>
      </c>
      <c r="D140" s="2">
        <v>42662</v>
      </c>
      <c r="E140" s="2" t="str">
        <f t="shared" si="2"/>
        <v>Oct</v>
      </c>
      <c r="F140" s="5">
        <f>YEAR(Table1[[#This Row],[Order Date]])</f>
        <v>2016</v>
      </c>
      <c r="G140" t="s">
        <v>49</v>
      </c>
      <c r="H140" t="s">
        <v>564</v>
      </c>
      <c r="I140" t="s">
        <v>565</v>
      </c>
      <c r="J140" t="s">
        <v>25</v>
      </c>
      <c r="K140" t="s">
        <v>26</v>
      </c>
      <c r="L140" t="s">
        <v>566</v>
      </c>
      <c r="M140" t="s">
        <v>42</v>
      </c>
      <c r="N140">
        <v>95661</v>
      </c>
      <c r="O140" t="s">
        <v>43</v>
      </c>
      <c r="P140" t="s">
        <v>577</v>
      </c>
      <c r="Q140" t="s">
        <v>45</v>
      </c>
      <c r="R140" t="s">
        <v>578</v>
      </c>
      <c r="S140" t="s">
        <v>579</v>
      </c>
      <c r="T140">
        <v>65.88</v>
      </c>
      <c r="U140">
        <v>6</v>
      </c>
      <c r="V140">
        <v>0</v>
      </c>
      <c r="W140">
        <v>18.446400000000001</v>
      </c>
    </row>
    <row r="141" spans="1:23" x14ac:dyDescent="0.35">
      <c r="A141" s="1">
        <v>140</v>
      </c>
      <c r="B141" t="s">
        <v>563</v>
      </c>
      <c r="C141" s="2">
        <v>42656</v>
      </c>
      <c r="D141" s="2">
        <v>42662</v>
      </c>
      <c r="E141" s="2" t="str">
        <f t="shared" si="2"/>
        <v>Oct</v>
      </c>
      <c r="F141" s="5">
        <f>YEAR(Table1[[#This Row],[Order Date]])</f>
        <v>2016</v>
      </c>
      <c r="G141" t="s">
        <v>49</v>
      </c>
      <c r="H141" t="s">
        <v>564</v>
      </c>
      <c r="I141" t="s">
        <v>565</v>
      </c>
      <c r="J141" t="s">
        <v>25</v>
      </c>
      <c r="K141" t="s">
        <v>26</v>
      </c>
      <c r="L141" t="s">
        <v>566</v>
      </c>
      <c r="M141" t="s">
        <v>42</v>
      </c>
      <c r="N141">
        <v>95661</v>
      </c>
      <c r="O141" t="s">
        <v>43</v>
      </c>
      <c r="P141" t="s">
        <v>258</v>
      </c>
      <c r="Q141" t="s">
        <v>31</v>
      </c>
      <c r="R141" t="s">
        <v>64</v>
      </c>
      <c r="S141" t="s">
        <v>259</v>
      </c>
      <c r="T141">
        <v>43.12</v>
      </c>
      <c r="U141">
        <v>14</v>
      </c>
      <c r="V141">
        <v>0</v>
      </c>
      <c r="W141">
        <v>20.697600000000001</v>
      </c>
    </row>
    <row r="142" spans="1:23" x14ac:dyDescent="0.35">
      <c r="A142" s="1">
        <v>141</v>
      </c>
      <c r="B142" t="s">
        <v>580</v>
      </c>
      <c r="C142" s="2">
        <v>42618</v>
      </c>
      <c r="D142" s="2">
        <v>42620</v>
      </c>
      <c r="E142" s="2" t="str">
        <f t="shared" si="2"/>
        <v>Sep</v>
      </c>
      <c r="F142" s="5">
        <f>YEAR(Table1[[#This Row],[Order Date]])</f>
        <v>2016</v>
      </c>
      <c r="G142" t="s">
        <v>22</v>
      </c>
      <c r="H142" t="s">
        <v>581</v>
      </c>
      <c r="I142" t="s">
        <v>582</v>
      </c>
      <c r="J142" t="s">
        <v>40</v>
      </c>
      <c r="K142" t="s">
        <v>26</v>
      </c>
      <c r="L142" t="s">
        <v>145</v>
      </c>
      <c r="M142" t="s">
        <v>146</v>
      </c>
      <c r="N142">
        <v>19140</v>
      </c>
      <c r="O142" t="s">
        <v>147</v>
      </c>
      <c r="P142" t="s">
        <v>169</v>
      </c>
      <c r="Q142" t="s">
        <v>31</v>
      </c>
      <c r="R142" t="s">
        <v>64</v>
      </c>
      <c r="S142" t="s">
        <v>170</v>
      </c>
      <c r="T142">
        <v>82.8</v>
      </c>
      <c r="U142">
        <v>2</v>
      </c>
      <c r="V142">
        <v>0.2</v>
      </c>
      <c r="W142">
        <v>10.35</v>
      </c>
    </row>
    <row r="143" spans="1:23" x14ac:dyDescent="0.35">
      <c r="A143" s="1">
        <v>142</v>
      </c>
      <c r="B143" t="s">
        <v>583</v>
      </c>
      <c r="C143" s="2">
        <v>42996</v>
      </c>
      <c r="D143" s="2">
        <v>43001</v>
      </c>
      <c r="E143" s="2" t="str">
        <f t="shared" si="2"/>
        <v>Sep</v>
      </c>
      <c r="F143" s="5">
        <f>YEAR(Table1[[#This Row],[Order Date]])</f>
        <v>2017</v>
      </c>
      <c r="G143" t="s">
        <v>49</v>
      </c>
      <c r="H143" t="s">
        <v>584</v>
      </c>
      <c r="I143" t="s">
        <v>585</v>
      </c>
      <c r="J143" t="s">
        <v>40</v>
      </c>
      <c r="K143" t="s">
        <v>26</v>
      </c>
      <c r="L143" t="s">
        <v>126</v>
      </c>
      <c r="M143" t="s">
        <v>42</v>
      </c>
      <c r="N143">
        <v>94122</v>
      </c>
      <c r="O143" t="s">
        <v>43</v>
      </c>
      <c r="P143" t="s">
        <v>586</v>
      </c>
      <c r="Q143" t="s">
        <v>45</v>
      </c>
      <c r="R143" t="s">
        <v>67</v>
      </c>
      <c r="S143" t="s">
        <v>587</v>
      </c>
      <c r="T143">
        <v>8.82</v>
      </c>
      <c r="U143">
        <v>3</v>
      </c>
      <c r="V143">
        <v>0</v>
      </c>
      <c r="W143">
        <v>2.3814000000000002</v>
      </c>
    </row>
    <row r="144" spans="1:23" x14ac:dyDescent="0.35">
      <c r="A144" s="1">
        <v>143</v>
      </c>
      <c r="B144" t="s">
        <v>583</v>
      </c>
      <c r="C144" s="2">
        <v>42996</v>
      </c>
      <c r="D144" s="2">
        <v>43001</v>
      </c>
      <c r="E144" s="2" t="str">
        <f t="shared" si="2"/>
        <v>Sep</v>
      </c>
      <c r="F144" s="5">
        <f>YEAR(Table1[[#This Row],[Order Date]])</f>
        <v>2017</v>
      </c>
      <c r="G144" t="s">
        <v>49</v>
      </c>
      <c r="H144" t="s">
        <v>584</v>
      </c>
      <c r="I144" t="s">
        <v>585</v>
      </c>
      <c r="J144" t="s">
        <v>40</v>
      </c>
      <c r="K144" t="s">
        <v>26</v>
      </c>
      <c r="L144" t="s">
        <v>126</v>
      </c>
      <c r="M144" t="s">
        <v>42</v>
      </c>
      <c r="N144">
        <v>94122</v>
      </c>
      <c r="O144" t="s">
        <v>43</v>
      </c>
      <c r="P144" t="s">
        <v>588</v>
      </c>
      <c r="Q144" t="s">
        <v>45</v>
      </c>
      <c r="R144" t="s">
        <v>172</v>
      </c>
      <c r="S144" t="s">
        <v>589</v>
      </c>
      <c r="T144">
        <v>10.86</v>
      </c>
      <c r="U144">
        <v>3</v>
      </c>
      <c r="V144">
        <v>0</v>
      </c>
      <c r="W144">
        <v>5.1041999999999996</v>
      </c>
    </row>
    <row r="145" spans="1:23" x14ac:dyDescent="0.35">
      <c r="A145" s="1">
        <v>144</v>
      </c>
      <c r="B145" t="s">
        <v>583</v>
      </c>
      <c r="C145" s="2">
        <v>42996</v>
      </c>
      <c r="D145" s="2">
        <v>43001</v>
      </c>
      <c r="E145" s="2" t="str">
        <f t="shared" si="2"/>
        <v>Sep</v>
      </c>
      <c r="F145" s="5">
        <f>YEAR(Table1[[#This Row],[Order Date]])</f>
        <v>2017</v>
      </c>
      <c r="G145" t="s">
        <v>49</v>
      </c>
      <c r="H145" t="s">
        <v>584</v>
      </c>
      <c r="I145" t="s">
        <v>585</v>
      </c>
      <c r="J145" t="s">
        <v>40</v>
      </c>
      <c r="K145" t="s">
        <v>26</v>
      </c>
      <c r="L145" t="s">
        <v>126</v>
      </c>
      <c r="M145" t="s">
        <v>42</v>
      </c>
      <c r="N145">
        <v>94122</v>
      </c>
      <c r="O145" t="s">
        <v>43</v>
      </c>
      <c r="P145" t="s">
        <v>590</v>
      </c>
      <c r="Q145" t="s">
        <v>45</v>
      </c>
      <c r="R145" t="s">
        <v>89</v>
      </c>
      <c r="S145" t="s">
        <v>591</v>
      </c>
      <c r="T145">
        <v>143.69999999999999</v>
      </c>
      <c r="U145">
        <v>3</v>
      </c>
      <c r="V145">
        <v>0</v>
      </c>
      <c r="W145">
        <v>68.975999999999999</v>
      </c>
    </row>
    <row r="146" spans="1:23" x14ac:dyDescent="0.35">
      <c r="A146" s="1">
        <v>145</v>
      </c>
      <c r="B146" t="s">
        <v>592</v>
      </c>
      <c r="C146" s="2">
        <v>43091</v>
      </c>
      <c r="D146" s="2">
        <v>43096</v>
      </c>
      <c r="E146" s="2" t="str">
        <f t="shared" si="2"/>
        <v>Dec</v>
      </c>
      <c r="F146" s="5">
        <f>YEAR(Table1[[#This Row],[Order Date]])</f>
        <v>2017</v>
      </c>
      <c r="G146" t="s">
        <v>49</v>
      </c>
      <c r="H146" t="s">
        <v>593</v>
      </c>
      <c r="I146" t="s">
        <v>594</v>
      </c>
      <c r="J146" t="s">
        <v>25</v>
      </c>
      <c r="K146" t="s">
        <v>26</v>
      </c>
      <c r="L146" t="s">
        <v>595</v>
      </c>
      <c r="M146" t="s">
        <v>596</v>
      </c>
      <c r="N146">
        <v>64055</v>
      </c>
      <c r="O146" t="s">
        <v>104</v>
      </c>
      <c r="P146" t="s">
        <v>597</v>
      </c>
      <c r="Q146" t="s">
        <v>45</v>
      </c>
      <c r="R146" t="s">
        <v>77</v>
      </c>
      <c r="S146" t="s">
        <v>598</v>
      </c>
      <c r="T146">
        <v>839.43</v>
      </c>
      <c r="U146">
        <v>3</v>
      </c>
      <c r="V146">
        <v>0</v>
      </c>
      <c r="W146">
        <v>218.2518</v>
      </c>
    </row>
    <row r="147" spans="1:23" x14ac:dyDescent="0.35">
      <c r="A147" s="1">
        <v>146</v>
      </c>
      <c r="B147" t="s">
        <v>599</v>
      </c>
      <c r="C147" s="2">
        <v>42254</v>
      </c>
      <c r="D147" s="2">
        <v>42259</v>
      </c>
      <c r="E147" s="2" t="str">
        <f t="shared" si="2"/>
        <v>Sep</v>
      </c>
      <c r="F147" s="5">
        <f>YEAR(Table1[[#This Row],[Order Date]])</f>
        <v>2015</v>
      </c>
      <c r="G147" t="s">
        <v>49</v>
      </c>
      <c r="H147" t="s">
        <v>600</v>
      </c>
      <c r="I147" t="s">
        <v>601</v>
      </c>
      <c r="J147" t="s">
        <v>25</v>
      </c>
      <c r="K147" t="s">
        <v>26</v>
      </c>
      <c r="L147" t="s">
        <v>602</v>
      </c>
      <c r="M147" t="s">
        <v>42</v>
      </c>
      <c r="N147">
        <v>91104</v>
      </c>
      <c r="O147" t="s">
        <v>43</v>
      </c>
      <c r="P147" t="s">
        <v>378</v>
      </c>
      <c r="Q147" t="s">
        <v>45</v>
      </c>
      <c r="R147" t="s">
        <v>58</v>
      </c>
      <c r="S147" t="s">
        <v>379</v>
      </c>
      <c r="T147">
        <v>671.93</v>
      </c>
      <c r="U147">
        <v>7</v>
      </c>
      <c r="V147">
        <v>0</v>
      </c>
      <c r="W147">
        <v>20.157900000000001</v>
      </c>
    </row>
    <row r="148" spans="1:23" x14ac:dyDescent="0.35">
      <c r="A148" s="1">
        <v>147</v>
      </c>
      <c r="B148" t="s">
        <v>603</v>
      </c>
      <c r="C148" s="2">
        <v>41934</v>
      </c>
      <c r="D148" s="2">
        <v>41940</v>
      </c>
      <c r="E148" s="2" t="str">
        <f t="shared" si="2"/>
        <v>Oct</v>
      </c>
      <c r="F148" s="5">
        <f>YEAR(Table1[[#This Row],[Order Date]])</f>
        <v>2014</v>
      </c>
      <c r="G148" t="s">
        <v>49</v>
      </c>
      <c r="H148" t="s">
        <v>604</v>
      </c>
      <c r="I148" t="s">
        <v>605</v>
      </c>
      <c r="J148" t="s">
        <v>101</v>
      </c>
      <c r="K148" t="s">
        <v>26</v>
      </c>
      <c r="L148" t="s">
        <v>606</v>
      </c>
      <c r="M148" t="s">
        <v>497</v>
      </c>
      <c r="N148">
        <v>43055</v>
      </c>
      <c r="O148" t="s">
        <v>147</v>
      </c>
      <c r="P148" t="s">
        <v>607</v>
      </c>
      <c r="Q148" t="s">
        <v>31</v>
      </c>
      <c r="R148" t="s">
        <v>64</v>
      </c>
      <c r="S148" t="s">
        <v>608</v>
      </c>
      <c r="T148">
        <v>93.888000000000005</v>
      </c>
      <c r="U148">
        <v>4</v>
      </c>
      <c r="V148">
        <v>0.2</v>
      </c>
      <c r="W148">
        <v>12.909599999999999</v>
      </c>
    </row>
    <row r="149" spans="1:23" x14ac:dyDescent="0.35">
      <c r="A149" s="1">
        <v>148</v>
      </c>
      <c r="B149" t="s">
        <v>609</v>
      </c>
      <c r="C149" s="2">
        <v>42709</v>
      </c>
      <c r="D149" s="2">
        <v>42713</v>
      </c>
      <c r="E149" s="2" t="str">
        <f t="shared" si="2"/>
        <v>Dec</v>
      </c>
      <c r="F149" s="5">
        <f>YEAR(Table1[[#This Row],[Order Date]])</f>
        <v>2016</v>
      </c>
      <c r="G149" t="s">
        <v>49</v>
      </c>
      <c r="H149" t="s">
        <v>610</v>
      </c>
      <c r="I149" t="s">
        <v>611</v>
      </c>
      <c r="J149" t="s">
        <v>40</v>
      </c>
      <c r="K149" t="s">
        <v>26</v>
      </c>
      <c r="L149" t="s">
        <v>612</v>
      </c>
      <c r="M149" t="s">
        <v>113</v>
      </c>
      <c r="N149">
        <v>53132</v>
      </c>
      <c r="O149" t="s">
        <v>104</v>
      </c>
      <c r="P149" t="s">
        <v>613</v>
      </c>
      <c r="Q149" t="s">
        <v>70</v>
      </c>
      <c r="R149" t="s">
        <v>71</v>
      </c>
      <c r="S149" t="s">
        <v>614</v>
      </c>
      <c r="T149">
        <v>384.45</v>
      </c>
      <c r="U149">
        <v>11</v>
      </c>
      <c r="V149">
        <v>0</v>
      </c>
      <c r="W149">
        <v>103.8015</v>
      </c>
    </row>
    <row r="150" spans="1:23" x14ac:dyDescent="0.35">
      <c r="A150" s="1">
        <v>149</v>
      </c>
      <c r="B150" t="s">
        <v>609</v>
      </c>
      <c r="C150" s="2">
        <v>42709</v>
      </c>
      <c r="D150" s="2">
        <v>42713</v>
      </c>
      <c r="E150" s="2" t="str">
        <f t="shared" si="2"/>
        <v>Dec</v>
      </c>
      <c r="F150" s="5">
        <f>YEAR(Table1[[#This Row],[Order Date]])</f>
        <v>2016</v>
      </c>
      <c r="G150" t="s">
        <v>49</v>
      </c>
      <c r="H150" t="s">
        <v>610</v>
      </c>
      <c r="I150" t="s">
        <v>611</v>
      </c>
      <c r="J150" t="s">
        <v>40</v>
      </c>
      <c r="K150" t="s">
        <v>26</v>
      </c>
      <c r="L150" t="s">
        <v>612</v>
      </c>
      <c r="M150" t="s">
        <v>113</v>
      </c>
      <c r="N150">
        <v>53132</v>
      </c>
      <c r="O150" t="s">
        <v>104</v>
      </c>
      <c r="P150" t="s">
        <v>615</v>
      </c>
      <c r="Q150" t="s">
        <v>70</v>
      </c>
      <c r="R150" t="s">
        <v>71</v>
      </c>
      <c r="S150" t="s">
        <v>616</v>
      </c>
      <c r="T150">
        <v>149.97</v>
      </c>
      <c r="U150">
        <v>3</v>
      </c>
      <c r="V150">
        <v>0</v>
      </c>
      <c r="W150">
        <v>5.9988000000000001</v>
      </c>
    </row>
    <row r="151" spans="1:23" x14ac:dyDescent="0.35">
      <c r="A151" s="1">
        <v>150</v>
      </c>
      <c r="B151" t="s">
        <v>609</v>
      </c>
      <c r="C151" s="2">
        <v>42709</v>
      </c>
      <c r="D151" s="2">
        <v>42713</v>
      </c>
      <c r="E151" s="2" t="str">
        <f t="shared" si="2"/>
        <v>Dec</v>
      </c>
      <c r="F151" s="5">
        <f>YEAR(Table1[[#This Row],[Order Date]])</f>
        <v>2016</v>
      </c>
      <c r="G151" t="s">
        <v>49</v>
      </c>
      <c r="H151" t="s">
        <v>610</v>
      </c>
      <c r="I151" t="s">
        <v>611</v>
      </c>
      <c r="J151" t="s">
        <v>40</v>
      </c>
      <c r="K151" t="s">
        <v>26</v>
      </c>
      <c r="L151" t="s">
        <v>612</v>
      </c>
      <c r="M151" t="s">
        <v>113</v>
      </c>
      <c r="N151">
        <v>53132</v>
      </c>
      <c r="O151" t="s">
        <v>104</v>
      </c>
      <c r="P151" t="s">
        <v>34</v>
      </c>
      <c r="Q151" t="s">
        <v>31</v>
      </c>
      <c r="R151" t="s">
        <v>35</v>
      </c>
      <c r="S151" t="s">
        <v>36</v>
      </c>
      <c r="T151">
        <v>1951.84</v>
      </c>
      <c r="U151">
        <v>8</v>
      </c>
      <c r="V151">
        <v>0</v>
      </c>
      <c r="W151">
        <v>585.55200000000002</v>
      </c>
    </row>
    <row r="152" spans="1:23" x14ac:dyDescent="0.35">
      <c r="A152" s="1">
        <v>151</v>
      </c>
      <c r="B152" t="s">
        <v>609</v>
      </c>
      <c r="C152" s="2">
        <v>42709</v>
      </c>
      <c r="D152" s="2">
        <v>42713</v>
      </c>
      <c r="E152" s="2" t="str">
        <f t="shared" si="2"/>
        <v>Dec</v>
      </c>
      <c r="F152" s="5">
        <f>YEAR(Table1[[#This Row],[Order Date]])</f>
        <v>2016</v>
      </c>
      <c r="G152" t="s">
        <v>49</v>
      </c>
      <c r="H152" t="s">
        <v>610</v>
      </c>
      <c r="I152" t="s">
        <v>611</v>
      </c>
      <c r="J152" t="s">
        <v>40</v>
      </c>
      <c r="K152" t="s">
        <v>26</v>
      </c>
      <c r="L152" t="s">
        <v>612</v>
      </c>
      <c r="M152" t="s">
        <v>113</v>
      </c>
      <c r="N152">
        <v>53132</v>
      </c>
      <c r="O152" t="s">
        <v>104</v>
      </c>
      <c r="P152" t="s">
        <v>617</v>
      </c>
      <c r="Q152" t="s">
        <v>45</v>
      </c>
      <c r="R152" t="s">
        <v>74</v>
      </c>
      <c r="S152" t="s">
        <v>618</v>
      </c>
      <c r="T152">
        <v>171.55</v>
      </c>
      <c r="U152">
        <v>5</v>
      </c>
      <c r="V152">
        <v>0</v>
      </c>
      <c r="W152">
        <v>80.628500000000003</v>
      </c>
    </row>
    <row r="153" spans="1:23" x14ac:dyDescent="0.35">
      <c r="A153" s="1">
        <v>152</v>
      </c>
      <c r="B153" t="s">
        <v>619</v>
      </c>
      <c r="C153" s="2">
        <v>42442</v>
      </c>
      <c r="D153" s="2">
        <v>42445</v>
      </c>
      <c r="E153" s="2" t="str">
        <f t="shared" si="2"/>
        <v>Mar</v>
      </c>
      <c r="F153" s="5">
        <f>YEAR(Table1[[#This Row],[Order Date]])</f>
        <v>2016</v>
      </c>
      <c r="G153" t="s">
        <v>187</v>
      </c>
      <c r="H153" t="s">
        <v>620</v>
      </c>
      <c r="I153" t="s">
        <v>621</v>
      </c>
      <c r="J153" t="s">
        <v>101</v>
      </c>
      <c r="K153" t="s">
        <v>26</v>
      </c>
      <c r="L153" t="s">
        <v>622</v>
      </c>
      <c r="M153" t="s">
        <v>309</v>
      </c>
      <c r="N153">
        <v>85254</v>
      </c>
      <c r="O153" t="s">
        <v>43</v>
      </c>
      <c r="P153" t="s">
        <v>623</v>
      </c>
      <c r="Q153" t="s">
        <v>45</v>
      </c>
      <c r="R153" t="s">
        <v>77</v>
      </c>
      <c r="S153" t="s">
        <v>624</v>
      </c>
      <c r="T153">
        <v>157.91999999999999</v>
      </c>
      <c r="U153">
        <v>5</v>
      </c>
      <c r="V153">
        <v>0.2</v>
      </c>
      <c r="W153">
        <v>17.765999999999998</v>
      </c>
    </row>
    <row r="154" spans="1:23" x14ac:dyDescent="0.35">
      <c r="A154" s="1">
        <v>153</v>
      </c>
      <c r="B154" t="s">
        <v>619</v>
      </c>
      <c r="C154" s="2">
        <v>42442</v>
      </c>
      <c r="D154" s="2">
        <v>42445</v>
      </c>
      <c r="E154" s="2" t="str">
        <f t="shared" si="2"/>
        <v>Mar</v>
      </c>
      <c r="F154" s="5">
        <f>YEAR(Table1[[#This Row],[Order Date]])</f>
        <v>2016</v>
      </c>
      <c r="G154" t="s">
        <v>187</v>
      </c>
      <c r="H154" t="s">
        <v>620</v>
      </c>
      <c r="I154" t="s">
        <v>621</v>
      </c>
      <c r="J154" t="s">
        <v>101</v>
      </c>
      <c r="K154" t="s">
        <v>26</v>
      </c>
      <c r="L154" t="s">
        <v>622</v>
      </c>
      <c r="M154" t="s">
        <v>309</v>
      </c>
      <c r="N154">
        <v>85254</v>
      </c>
      <c r="O154" t="s">
        <v>43</v>
      </c>
      <c r="P154" t="s">
        <v>625</v>
      </c>
      <c r="Q154" t="s">
        <v>70</v>
      </c>
      <c r="R154" t="s">
        <v>71</v>
      </c>
      <c r="S154" t="s">
        <v>626</v>
      </c>
      <c r="T154">
        <v>203.184</v>
      </c>
      <c r="U154">
        <v>2</v>
      </c>
      <c r="V154">
        <v>0.2</v>
      </c>
      <c r="W154">
        <v>15.238799999999999</v>
      </c>
    </row>
    <row r="155" spans="1:23" x14ac:dyDescent="0.35">
      <c r="A155" s="1">
        <v>154</v>
      </c>
      <c r="B155" t="s">
        <v>627</v>
      </c>
      <c r="C155" s="2">
        <v>42155</v>
      </c>
      <c r="D155" s="2">
        <v>42157</v>
      </c>
      <c r="E155" s="2" t="str">
        <f t="shared" si="2"/>
        <v>May</v>
      </c>
      <c r="F155" s="5">
        <f>YEAR(Table1[[#This Row],[Order Date]])</f>
        <v>2015</v>
      </c>
      <c r="G155" t="s">
        <v>187</v>
      </c>
      <c r="H155" t="s">
        <v>628</v>
      </c>
      <c r="I155" t="s">
        <v>629</v>
      </c>
      <c r="J155" t="s">
        <v>40</v>
      </c>
      <c r="K155" t="s">
        <v>26</v>
      </c>
      <c r="L155" t="s">
        <v>630</v>
      </c>
      <c r="M155" t="s">
        <v>42</v>
      </c>
      <c r="N155">
        <v>95123</v>
      </c>
      <c r="O155" t="s">
        <v>43</v>
      </c>
      <c r="P155" t="s">
        <v>631</v>
      </c>
      <c r="Q155" t="s">
        <v>45</v>
      </c>
      <c r="R155" t="s">
        <v>89</v>
      </c>
      <c r="S155" t="s">
        <v>632</v>
      </c>
      <c r="T155">
        <v>58.38</v>
      </c>
      <c r="U155">
        <v>7</v>
      </c>
      <c r="V155">
        <v>0</v>
      </c>
      <c r="W155">
        <v>26.271000000000001</v>
      </c>
    </row>
    <row r="156" spans="1:23" x14ac:dyDescent="0.35">
      <c r="A156" s="1">
        <v>155</v>
      </c>
      <c r="B156" t="s">
        <v>627</v>
      </c>
      <c r="C156" s="2">
        <v>42155</v>
      </c>
      <c r="D156" s="2">
        <v>42157</v>
      </c>
      <c r="E156" s="2" t="str">
        <f t="shared" si="2"/>
        <v>May</v>
      </c>
      <c r="F156" s="5">
        <f>YEAR(Table1[[#This Row],[Order Date]])</f>
        <v>2015</v>
      </c>
      <c r="G156" t="s">
        <v>187</v>
      </c>
      <c r="H156" t="s">
        <v>628</v>
      </c>
      <c r="I156" t="s">
        <v>629</v>
      </c>
      <c r="J156" t="s">
        <v>40</v>
      </c>
      <c r="K156" t="s">
        <v>26</v>
      </c>
      <c r="L156" t="s">
        <v>630</v>
      </c>
      <c r="M156" t="s">
        <v>42</v>
      </c>
      <c r="N156">
        <v>95123</v>
      </c>
      <c r="O156" t="s">
        <v>43</v>
      </c>
      <c r="P156" t="s">
        <v>633</v>
      </c>
      <c r="Q156" t="s">
        <v>45</v>
      </c>
      <c r="R156" t="s">
        <v>89</v>
      </c>
      <c r="S156" t="s">
        <v>634</v>
      </c>
      <c r="T156">
        <v>105.52</v>
      </c>
      <c r="U156">
        <v>4</v>
      </c>
      <c r="V156">
        <v>0</v>
      </c>
      <c r="W156">
        <v>48.539200000000001</v>
      </c>
    </row>
    <row r="157" spans="1:23" x14ac:dyDescent="0.35">
      <c r="A157" s="1">
        <v>156</v>
      </c>
      <c r="B157" t="s">
        <v>627</v>
      </c>
      <c r="C157" s="2">
        <v>42155</v>
      </c>
      <c r="D157" s="2">
        <v>42157</v>
      </c>
      <c r="E157" s="2" t="str">
        <f t="shared" si="2"/>
        <v>May</v>
      </c>
      <c r="F157" s="5">
        <f>YEAR(Table1[[#This Row],[Order Date]])</f>
        <v>2015</v>
      </c>
      <c r="G157" t="s">
        <v>187</v>
      </c>
      <c r="H157" t="s">
        <v>628</v>
      </c>
      <c r="I157" t="s">
        <v>629</v>
      </c>
      <c r="J157" t="s">
        <v>40</v>
      </c>
      <c r="K157" t="s">
        <v>26</v>
      </c>
      <c r="L157" t="s">
        <v>630</v>
      </c>
      <c r="M157" t="s">
        <v>42</v>
      </c>
      <c r="N157">
        <v>95123</v>
      </c>
      <c r="O157" t="s">
        <v>43</v>
      </c>
      <c r="P157" t="s">
        <v>635</v>
      </c>
      <c r="Q157" t="s">
        <v>45</v>
      </c>
      <c r="R157" t="s">
        <v>58</v>
      </c>
      <c r="S157" t="s">
        <v>636</v>
      </c>
      <c r="T157">
        <v>80.88</v>
      </c>
      <c r="U157">
        <v>6</v>
      </c>
      <c r="V157">
        <v>0</v>
      </c>
      <c r="W157">
        <v>21.0288</v>
      </c>
    </row>
    <row r="158" spans="1:23" x14ac:dyDescent="0.35">
      <c r="A158" s="1">
        <v>157</v>
      </c>
      <c r="B158" t="s">
        <v>637</v>
      </c>
      <c r="C158" s="2">
        <v>42152</v>
      </c>
      <c r="D158" s="2">
        <v>42158</v>
      </c>
      <c r="E158" s="2" t="str">
        <f t="shared" si="2"/>
        <v>May</v>
      </c>
      <c r="F158" s="5">
        <f>YEAR(Table1[[#This Row],[Order Date]])</f>
        <v>2015</v>
      </c>
      <c r="G158" t="s">
        <v>49</v>
      </c>
      <c r="H158" t="s">
        <v>638</v>
      </c>
      <c r="I158" t="s">
        <v>639</v>
      </c>
      <c r="J158" t="s">
        <v>101</v>
      </c>
      <c r="K158" t="s">
        <v>26</v>
      </c>
      <c r="L158" t="s">
        <v>94</v>
      </c>
      <c r="M158" t="s">
        <v>95</v>
      </c>
      <c r="N158">
        <v>98105</v>
      </c>
      <c r="O158" t="s">
        <v>43</v>
      </c>
      <c r="P158" t="s">
        <v>640</v>
      </c>
      <c r="Q158" t="s">
        <v>45</v>
      </c>
      <c r="R158" t="s">
        <v>67</v>
      </c>
      <c r="S158" t="s">
        <v>641</v>
      </c>
      <c r="T158">
        <v>6.63</v>
      </c>
      <c r="U158">
        <v>3</v>
      </c>
      <c r="V158">
        <v>0</v>
      </c>
      <c r="W158">
        <v>1.7901</v>
      </c>
    </row>
    <row r="159" spans="1:23" x14ac:dyDescent="0.35">
      <c r="A159" s="1">
        <v>158</v>
      </c>
      <c r="B159" t="s">
        <v>642</v>
      </c>
      <c r="C159" s="2">
        <v>41699</v>
      </c>
      <c r="D159" s="2">
        <v>41704</v>
      </c>
      <c r="E159" s="2" t="str">
        <f t="shared" si="2"/>
        <v>Mar</v>
      </c>
      <c r="F159" s="5">
        <f>YEAR(Table1[[#This Row],[Order Date]])</f>
        <v>2014</v>
      </c>
      <c r="G159" t="s">
        <v>22</v>
      </c>
      <c r="H159" t="s">
        <v>643</v>
      </c>
      <c r="I159" t="s">
        <v>644</v>
      </c>
      <c r="J159" t="s">
        <v>25</v>
      </c>
      <c r="K159" t="s">
        <v>26</v>
      </c>
      <c r="L159" t="s">
        <v>94</v>
      </c>
      <c r="M159" t="s">
        <v>95</v>
      </c>
      <c r="N159">
        <v>98115</v>
      </c>
      <c r="O159" t="s">
        <v>43</v>
      </c>
      <c r="P159" t="s">
        <v>532</v>
      </c>
      <c r="Q159" t="s">
        <v>31</v>
      </c>
      <c r="R159" t="s">
        <v>35</v>
      </c>
      <c r="S159" t="s">
        <v>533</v>
      </c>
      <c r="T159">
        <v>457.56799999999998</v>
      </c>
      <c r="U159">
        <v>2</v>
      </c>
      <c r="V159">
        <v>0.2</v>
      </c>
      <c r="W159">
        <v>51.476399999999998</v>
      </c>
    </row>
    <row r="160" spans="1:23" x14ac:dyDescent="0.35">
      <c r="A160" s="1">
        <v>159</v>
      </c>
      <c r="B160" t="s">
        <v>645</v>
      </c>
      <c r="C160" s="2">
        <v>42694</v>
      </c>
      <c r="D160" s="2">
        <v>42698</v>
      </c>
      <c r="E160" s="2" t="str">
        <f t="shared" si="2"/>
        <v>Nov</v>
      </c>
      <c r="F160" s="5">
        <f>YEAR(Table1[[#This Row],[Order Date]])</f>
        <v>2016</v>
      </c>
      <c r="G160" t="s">
        <v>49</v>
      </c>
      <c r="H160" t="s">
        <v>646</v>
      </c>
      <c r="I160" t="s">
        <v>647</v>
      </c>
      <c r="J160" t="s">
        <v>25</v>
      </c>
      <c r="K160" t="s">
        <v>26</v>
      </c>
      <c r="L160" t="s">
        <v>648</v>
      </c>
      <c r="M160" t="s">
        <v>649</v>
      </c>
      <c r="N160">
        <v>73034</v>
      </c>
      <c r="O160" t="s">
        <v>104</v>
      </c>
      <c r="P160" t="s">
        <v>650</v>
      </c>
      <c r="Q160" t="s">
        <v>45</v>
      </c>
      <c r="R160" t="s">
        <v>46</v>
      </c>
      <c r="S160" t="s">
        <v>651</v>
      </c>
      <c r="T160">
        <v>14.62</v>
      </c>
      <c r="U160">
        <v>2</v>
      </c>
      <c r="V160">
        <v>0</v>
      </c>
      <c r="W160">
        <v>6.8714000000000004</v>
      </c>
    </row>
    <row r="161" spans="1:23" x14ac:dyDescent="0.35">
      <c r="A161" s="1">
        <v>160</v>
      </c>
      <c r="B161" t="s">
        <v>645</v>
      </c>
      <c r="C161" s="2">
        <v>42694</v>
      </c>
      <c r="D161" s="2">
        <v>42698</v>
      </c>
      <c r="E161" s="2" t="str">
        <f t="shared" si="2"/>
        <v>Nov</v>
      </c>
      <c r="F161" s="5">
        <f>YEAR(Table1[[#This Row],[Order Date]])</f>
        <v>2016</v>
      </c>
      <c r="G161" t="s">
        <v>49</v>
      </c>
      <c r="H161" t="s">
        <v>646</v>
      </c>
      <c r="I161" t="s">
        <v>647</v>
      </c>
      <c r="J161" t="s">
        <v>25</v>
      </c>
      <c r="K161" t="s">
        <v>26</v>
      </c>
      <c r="L161" t="s">
        <v>648</v>
      </c>
      <c r="M161" t="s">
        <v>649</v>
      </c>
      <c r="N161">
        <v>73034</v>
      </c>
      <c r="O161" t="s">
        <v>104</v>
      </c>
      <c r="P161" t="s">
        <v>652</v>
      </c>
      <c r="Q161" t="s">
        <v>70</v>
      </c>
      <c r="R161" t="s">
        <v>71</v>
      </c>
      <c r="S161" t="s">
        <v>653</v>
      </c>
      <c r="T161">
        <v>944.93</v>
      </c>
      <c r="U161">
        <v>7</v>
      </c>
      <c r="V161">
        <v>0</v>
      </c>
      <c r="W161">
        <v>236.23249999999999</v>
      </c>
    </row>
    <row r="162" spans="1:23" x14ac:dyDescent="0.35">
      <c r="A162" s="1">
        <v>161</v>
      </c>
      <c r="B162" t="s">
        <v>654</v>
      </c>
      <c r="C162" s="2">
        <v>42501</v>
      </c>
      <c r="D162" s="2">
        <v>42502</v>
      </c>
      <c r="E162" s="2" t="str">
        <f t="shared" si="2"/>
        <v>May</v>
      </c>
      <c r="F162" s="5">
        <f>YEAR(Table1[[#This Row],[Order Date]])</f>
        <v>2016</v>
      </c>
      <c r="G162" t="s">
        <v>187</v>
      </c>
      <c r="H162" t="s">
        <v>655</v>
      </c>
      <c r="I162" t="s">
        <v>656</v>
      </c>
      <c r="J162" t="s">
        <v>25</v>
      </c>
      <c r="K162" t="s">
        <v>26</v>
      </c>
      <c r="L162" t="s">
        <v>41</v>
      </c>
      <c r="M162" t="s">
        <v>42</v>
      </c>
      <c r="N162">
        <v>90045</v>
      </c>
      <c r="O162" t="s">
        <v>43</v>
      </c>
      <c r="P162" t="s">
        <v>657</v>
      </c>
      <c r="Q162" t="s">
        <v>45</v>
      </c>
      <c r="R162" t="s">
        <v>89</v>
      </c>
      <c r="S162" t="s">
        <v>658</v>
      </c>
      <c r="T162">
        <v>5.98</v>
      </c>
      <c r="U162">
        <v>1</v>
      </c>
      <c r="V162">
        <v>0</v>
      </c>
      <c r="W162">
        <v>2.6909999999999998</v>
      </c>
    </row>
    <row r="163" spans="1:23" x14ac:dyDescent="0.35">
      <c r="A163" s="1">
        <v>162</v>
      </c>
      <c r="B163" t="s">
        <v>659</v>
      </c>
      <c r="C163" s="2">
        <v>42366</v>
      </c>
      <c r="D163" s="2">
        <v>42369</v>
      </c>
      <c r="E163" s="2" t="str">
        <f t="shared" si="2"/>
        <v>Dec</v>
      </c>
      <c r="F163" s="5">
        <f>YEAR(Table1[[#This Row],[Order Date]])</f>
        <v>2015</v>
      </c>
      <c r="G163" t="s">
        <v>22</v>
      </c>
      <c r="H163" t="s">
        <v>660</v>
      </c>
      <c r="I163" t="s">
        <v>661</v>
      </c>
      <c r="J163" t="s">
        <v>25</v>
      </c>
      <c r="K163" t="s">
        <v>26</v>
      </c>
      <c r="L163" t="s">
        <v>145</v>
      </c>
      <c r="M163" t="s">
        <v>146</v>
      </c>
      <c r="N163">
        <v>19134</v>
      </c>
      <c r="O163" t="s">
        <v>147</v>
      </c>
      <c r="P163" t="s">
        <v>662</v>
      </c>
      <c r="Q163" t="s">
        <v>70</v>
      </c>
      <c r="R163" t="s">
        <v>160</v>
      </c>
      <c r="S163" t="s">
        <v>663</v>
      </c>
      <c r="T163">
        <v>54.384</v>
      </c>
      <c r="U163">
        <v>2</v>
      </c>
      <c r="V163">
        <v>0.2</v>
      </c>
      <c r="W163">
        <v>1.3595999999999999</v>
      </c>
    </row>
    <row r="164" spans="1:23" x14ac:dyDescent="0.35">
      <c r="A164" s="1">
        <v>163</v>
      </c>
      <c r="B164" t="s">
        <v>664</v>
      </c>
      <c r="C164" s="2">
        <v>42690</v>
      </c>
      <c r="D164" s="2">
        <v>42694</v>
      </c>
      <c r="E164" s="2" t="str">
        <f t="shared" si="2"/>
        <v>Nov</v>
      </c>
      <c r="F164" s="5">
        <f>YEAR(Table1[[#This Row],[Order Date]])</f>
        <v>2016</v>
      </c>
      <c r="G164" t="s">
        <v>49</v>
      </c>
      <c r="H164" t="s">
        <v>665</v>
      </c>
      <c r="I164" t="s">
        <v>666</v>
      </c>
      <c r="J164" t="s">
        <v>25</v>
      </c>
      <c r="K164" t="s">
        <v>26</v>
      </c>
      <c r="L164" t="s">
        <v>667</v>
      </c>
      <c r="M164" t="s">
        <v>668</v>
      </c>
      <c r="N164">
        <v>88220</v>
      </c>
      <c r="O164" t="s">
        <v>43</v>
      </c>
      <c r="P164" t="s">
        <v>669</v>
      </c>
      <c r="Q164" t="s">
        <v>45</v>
      </c>
      <c r="R164" t="s">
        <v>172</v>
      </c>
      <c r="S164" t="s">
        <v>670</v>
      </c>
      <c r="T164">
        <v>28.4</v>
      </c>
      <c r="U164">
        <v>5</v>
      </c>
      <c r="V164">
        <v>0</v>
      </c>
      <c r="W164">
        <v>13.348000000000001</v>
      </c>
    </row>
    <row r="165" spans="1:23" x14ac:dyDescent="0.35">
      <c r="A165" s="1">
        <v>164</v>
      </c>
      <c r="B165" t="s">
        <v>671</v>
      </c>
      <c r="C165" s="2">
        <v>42681</v>
      </c>
      <c r="D165" s="2">
        <v>42685</v>
      </c>
      <c r="E165" s="2" t="str">
        <f t="shared" si="2"/>
        <v>Nov</v>
      </c>
      <c r="F165" s="5">
        <f>YEAR(Table1[[#This Row],[Order Date]])</f>
        <v>2016</v>
      </c>
      <c r="G165" t="s">
        <v>49</v>
      </c>
      <c r="H165" t="s">
        <v>672</v>
      </c>
      <c r="I165" t="s">
        <v>673</v>
      </c>
      <c r="J165" t="s">
        <v>25</v>
      </c>
      <c r="K165" t="s">
        <v>26</v>
      </c>
      <c r="L165" t="s">
        <v>94</v>
      </c>
      <c r="M165" t="s">
        <v>95</v>
      </c>
      <c r="N165">
        <v>98115</v>
      </c>
      <c r="O165" t="s">
        <v>43</v>
      </c>
      <c r="P165" t="s">
        <v>674</v>
      </c>
      <c r="Q165" t="s">
        <v>45</v>
      </c>
      <c r="R165" t="s">
        <v>74</v>
      </c>
      <c r="S165" t="s">
        <v>675</v>
      </c>
      <c r="T165">
        <v>27.68</v>
      </c>
      <c r="U165">
        <v>2</v>
      </c>
      <c r="V165">
        <v>0.2</v>
      </c>
      <c r="W165">
        <v>9.6880000000000006</v>
      </c>
    </row>
    <row r="166" spans="1:23" x14ac:dyDescent="0.35">
      <c r="A166" s="1">
        <v>165</v>
      </c>
      <c r="B166" t="s">
        <v>676</v>
      </c>
      <c r="C166" s="2">
        <v>41890</v>
      </c>
      <c r="D166" s="2">
        <v>41894</v>
      </c>
      <c r="E166" s="2" t="str">
        <f t="shared" si="2"/>
        <v>Sep</v>
      </c>
      <c r="F166" s="5">
        <f>YEAR(Table1[[#This Row],[Order Date]])</f>
        <v>2014</v>
      </c>
      <c r="G166" t="s">
        <v>49</v>
      </c>
      <c r="H166" t="s">
        <v>677</v>
      </c>
      <c r="I166" t="s">
        <v>678</v>
      </c>
      <c r="J166" t="s">
        <v>25</v>
      </c>
      <c r="K166" t="s">
        <v>26</v>
      </c>
      <c r="L166" t="s">
        <v>679</v>
      </c>
      <c r="M166" t="s">
        <v>103</v>
      </c>
      <c r="N166">
        <v>78207</v>
      </c>
      <c r="O166" t="s">
        <v>104</v>
      </c>
      <c r="P166" t="s">
        <v>680</v>
      </c>
      <c r="Q166" t="s">
        <v>45</v>
      </c>
      <c r="R166" t="s">
        <v>67</v>
      </c>
      <c r="S166" t="s">
        <v>681</v>
      </c>
      <c r="T166">
        <v>9.9359999999999999</v>
      </c>
      <c r="U166">
        <v>3</v>
      </c>
      <c r="V166">
        <v>0.2</v>
      </c>
      <c r="W166">
        <v>2.7324000000000002</v>
      </c>
    </row>
    <row r="167" spans="1:23" x14ac:dyDescent="0.35">
      <c r="A167" s="1">
        <v>166</v>
      </c>
      <c r="B167" t="s">
        <v>676</v>
      </c>
      <c r="C167" s="2">
        <v>41890</v>
      </c>
      <c r="D167" s="2">
        <v>41894</v>
      </c>
      <c r="E167" s="2" t="str">
        <f t="shared" si="2"/>
        <v>Sep</v>
      </c>
      <c r="F167" s="5">
        <f>YEAR(Table1[[#This Row],[Order Date]])</f>
        <v>2014</v>
      </c>
      <c r="G167" t="s">
        <v>49</v>
      </c>
      <c r="H167" t="s">
        <v>677</v>
      </c>
      <c r="I167" t="s">
        <v>678</v>
      </c>
      <c r="J167" t="s">
        <v>25</v>
      </c>
      <c r="K167" t="s">
        <v>26</v>
      </c>
      <c r="L167" t="s">
        <v>679</v>
      </c>
      <c r="M167" t="s">
        <v>103</v>
      </c>
      <c r="N167">
        <v>78207</v>
      </c>
      <c r="O167" t="s">
        <v>104</v>
      </c>
      <c r="P167" t="s">
        <v>682</v>
      </c>
      <c r="Q167" t="s">
        <v>70</v>
      </c>
      <c r="R167" t="s">
        <v>683</v>
      </c>
      <c r="S167" t="s">
        <v>684</v>
      </c>
      <c r="T167">
        <v>8159.9520000000002</v>
      </c>
      <c r="U167">
        <v>8</v>
      </c>
      <c r="V167">
        <v>0.4</v>
      </c>
      <c r="W167">
        <v>-1359.992</v>
      </c>
    </row>
    <row r="168" spans="1:23" x14ac:dyDescent="0.35">
      <c r="A168" s="1">
        <v>167</v>
      </c>
      <c r="B168" t="s">
        <v>676</v>
      </c>
      <c r="C168" s="2">
        <v>41890</v>
      </c>
      <c r="D168" s="2">
        <v>41894</v>
      </c>
      <c r="E168" s="2" t="str">
        <f t="shared" si="2"/>
        <v>Sep</v>
      </c>
      <c r="F168" s="5">
        <f>YEAR(Table1[[#This Row],[Order Date]])</f>
        <v>2014</v>
      </c>
      <c r="G168" t="s">
        <v>49</v>
      </c>
      <c r="H168" t="s">
        <v>677</v>
      </c>
      <c r="I168" t="s">
        <v>678</v>
      </c>
      <c r="J168" t="s">
        <v>25</v>
      </c>
      <c r="K168" t="s">
        <v>26</v>
      </c>
      <c r="L168" t="s">
        <v>679</v>
      </c>
      <c r="M168" t="s">
        <v>103</v>
      </c>
      <c r="N168">
        <v>78207</v>
      </c>
      <c r="O168" t="s">
        <v>104</v>
      </c>
      <c r="P168" t="s">
        <v>685</v>
      </c>
      <c r="Q168" t="s">
        <v>45</v>
      </c>
      <c r="R168" t="s">
        <v>58</v>
      </c>
      <c r="S168" t="s">
        <v>686</v>
      </c>
      <c r="T168">
        <v>275.928</v>
      </c>
      <c r="U168">
        <v>3</v>
      </c>
      <c r="V168">
        <v>0.2</v>
      </c>
      <c r="W168">
        <v>-58.634700000000002</v>
      </c>
    </row>
    <row r="169" spans="1:23" x14ac:dyDescent="0.35">
      <c r="A169" s="1">
        <v>168</v>
      </c>
      <c r="B169" t="s">
        <v>676</v>
      </c>
      <c r="C169" s="2">
        <v>41890</v>
      </c>
      <c r="D169" s="2">
        <v>41894</v>
      </c>
      <c r="E169" s="2" t="str">
        <f t="shared" si="2"/>
        <v>Sep</v>
      </c>
      <c r="F169" s="5">
        <f>YEAR(Table1[[#This Row],[Order Date]])</f>
        <v>2014</v>
      </c>
      <c r="G169" t="s">
        <v>49</v>
      </c>
      <c r="H169" t="s">
        <v>677</v>
      </c>
      <c r="I169" t="s">
        <v>678</v>
      </c>
      <c r="J169" t="s">
        <v>25</v>
      </c>
      <c r="K169" t="s">
        <v>26</v>
      </c>
      <c r="L169" t="s">
        <v>679</v>
      </c>
      <c r="M169" t="s">
        <v>103</v>
      </c>
      <c r="N169">
        <v>78207</v>
      </c>
      <c r="O169" t="s">
        <v>104</v>
      </c>
      <c r="P169" t="s">
        <v>687</v>
      </c>
      <c r="Q169" t="s">
        <v>31</v>
      </c>
      <c r="R169" t="s">
        <v>35</v>
      </c>
      <c r="S169" t="s">
        <v>688</v>
      </c>
      <c r="T169">
        <v>1740.06</v>
      </c>
      <c r="U169">
        <v>9</v>
      </c>
      <c r="V169">
        <v>0.3</v>
      </c>
      <c r="W169">
        <v>-24.858000000000001</v>
      </c>
    </row>
    <row r="170" spans="1:23" x14ac:dyDescent="0.35">
      <c r="A170" s="1">
        <v>169</v>
      </c>
      <c r="B170" t="s">
        <v>676</v>
      </c>
      <c r="C170" s="2">
        <v>41890</v>
      </c>
      <c r="D170" s="2">
        <v>41894</v>
      </c>
      <c r="E170" s="2" t="str">
        <f t="shared" si="2"/>
        <v>Sep</v>
      </c>
      <c r="F170" s="5">
        <f>YEAR(Table1[[#This Row],[Order Date]])</f>
        <v>2014</v>
      </c>
      <c r="G170" t="s">
        <v>49</v>
      </c>
      <c r="H170" t="s">
        <v>677</v>
      </c>
      <c r="I170" t="s">
        <v>678</v>
      </c>
      <c r="J170" t="s">
        <v>25</v>
      </c>
      <c r="K170" t="s">
        <v>26</v>
      </c>
      <c r="L170" t="s">
        <v>679</v>
      </c>
      <c r="M170" t="s">
        <v>103</v>
      </c>
      <c r="N170">
        <v>78207</v>
      </c>
      <c r="O170" t="s">
        <v>104</v>
      </c>
      <c r="P170" t="s">
        <v>689</v>
      </c>
      <c r="Q170" t="s">
        <v>45</v>
      </c>
      <c r="R170" t="s">
        <v>67</v>
      </c>
      <c r="S170" t="s">
        <v>690</v>
      </c>
      <c r="T170">
        <v>32.064</v>
      </c>
      <c r="U170">
        <v>6</v>
      </c>
      <c r="V170">
        <v>0.2</v>
      </c>
      <c r="W170">
        <v>6.8136000000000001</v>
      </c>
    </row>
    <row r="171" spans="1:23" x14ac:dyDescent="0.35">
      <c r="A171" s="1">
        <v>170</v>
      </c>
      <c r="B171" t="s">
        <v>676</v>
      </c>
      <c r="C171" s="2">
        <v>41890</v>
      </c>
      <c r="D171" s="2">
        <v>41894</v>
      </c>
      <c r="E171" s="2" t="str">
        <f t="shared" si="2"/>
        <v>Sep</v>
      </c>
      <c r="F171" s="5">
        <f>YEAR(Table1[[#This Row],[Order Date]])</f>
        <v>2014</v>
      </c>
      <c r="G171" t="s">
        <v>49</v>
      </c>
      <c r="H171" t="s">
        <v>677</v>
      </c>
      <c r="I171" t="s">
        <v>678</v>
      </c>
      <c r="J171" t="s">
        <v>25</v>
      </c>
      <c r="K171" t="s">
        <v>26</v>
      </c>
      <c r="L171" t="s">
        <v>679</v>
      </c>
      <c r="M171" t="s">
        <v>103</v>
      </c>
      <c r="N171">
        <v>78207</v>
      </c>
      <c r="O171" t="s">
        <v>104</v>
      </c>
      <c r="P171" t="s">
        <v>691</v>
      </c>
      <c r="Q171" t="s">
        <v>45</v>
      </c>
      <c r="R171" t="s">
        <v>77</v>
      </c>
      <c r="S171" t="s">
        <v>692</v>
      </c>
      <c r="T171">
        <v>177.98</v>
      </c>
      <c r="U171">
        <v>5</v>
      </c>
      <c r="V171">
        <v>0.8</v>
      </c>
      <c r="W171">
        <v>-453.84899999999999</v>
      </c>
    </row>
    <row r="172" spans="1:23" x14ac:dyDescent="0.35">
      <c r="A172" s="1">
        <v>171</v>
      </c>
      <c r="B172" t="s">
        <v>676</v>
      </c>
      <c r="C172" s="2">
        <v>41890</v>
      </c>
      <c r="D172" s="2">
        <v>41894</v>
      </c>
      <c r="E172" s="2" t="str">
        <f t="shared" si="2"/>
        <v>Sep</v>
      </c>
      <c r="F172" s="5">
        <f>YEAR(Table1[[#This Row],[Order Date]])</f>
        <v>2014</v>
      </c>
      <c r="G172" t="s">
        <v>49</v>
      </c>
      <c r="H172" t="s">
        <v>677</v>
      </c>
      <c r="I172" t="s">
        <v>678</v>
      </c>
      <c r="J172" t="s">
        <v>25</v>
      </c>
      <c r="K172" t="s">
        <v>26</v>
      </c>
      <c r="L172" t="s">
        <v>679</v>
      </c>
      <c r="M172" t="s">
        <v>103</v>
      </c>
      <c r="N172">
        <v>78207</v>
      </c>
      <c r="O172" t="s">
        <v>104</v>
      </c>
      <c r="P172" t="s">
        <v>693</v>
      </c>
      <c r="Q172" t="s">
        <v>70</v>
      </c>
      <c r="R172" t="s">
        <v>71</v>
      </c>
      <c r="S172" t="s">
        <v>694</v>
      </c>
      <c r="T172">
        <v>143.976</v>
      </c>
      <c r="U172">
        <v>3</v>
      </c>
      <c r="V172">
        <v>0.2</v>
      </c>
      <c r="W172">
        <v>8.9984999999999999</v>
      </c>
    </row>
    <row r="173" spans="1:23" x14ac:dyDescent="0.35">
      <c r="A173" s="1">
        <v>172</v>
      </c>
      <c r="B173" t="s">
        <v>695</v>
      </c>
      <c r="C173" s="2">
        <v>41856</v>
      </c>
      <c r="D173" s="2">
        <v>41860</v>
      </c>
      <c r="E173" s="2" t="str">
        <f t="shared" si="2"/>
        <v>Aug</v>
      </c>
      <c r="F173" s="5">
        <f>YEAR(Table1[[#This Row],[Order Date]])</f>
        <v>2014</v>
      </c>
      <c r="G173" t="s">
        <v>49</v>
      </c>
      <c r="H173" t="s">
        <v>696</v>
      </c>
      <c r="I173" t="s">
        <v>697</v>
      </c>
      <c r="J173" t="s">
        <v>25</v>
      </c>
      <c r="K173" t="s">
        <v>26</v>
      </c>
      <c r="L173" t="s">
        <v>41</v>
      </c>
      <c r="M173" t="s">
        <v>42</v>
      </c>
      <c r="N173">
        <v>90004</v>
      </c>
      <c r="O173" t="s">
        <v>43</v>
      </c>
      <c r="P173" t="s">
        <v>698</v>
      </c>
      <c r="Q173" t="s">
        <v>45</v>
      </c>
      <c r="R173" t="s">
        <v>89</v>
      </c>
      <c r="S173" t="s">
        <v>699</v>
      </c>
      <c r="T173">
        <v>20.94</v>
      </c>
      <c r="U173">
        <v>3</v>
      </c>
      <c r="V173">
        <v>0</v>
      </c>
      <c r="W173">
        <v>9.8417999999999992</v>
      </c>
    </row>
    <row r="174" spans="1:23" x14ac:dyDescent="0.35">
      <c r="A174" s="1">
        <v>173</v>
      </c>
      <c r="B174" t="s">
        <v>695</v>
      </c>
      <c r="C174" s="2">
        <v>41856</v>
      </c>
      <c r="D174" s="2">
        <v>41860</v>
      </c>
      <c r="E174" s="2" t="str">
        <f t="shared" si="2"/>
        <v>Aug</v>
      </c>
      <c r="F174" s="5">
        <f>YEAR(Table1[[#This Row],[Order Date]])</f>
        <v>2014</v>
      </c>
      <c r="G174" t="s">
        <v>49</v>
      </c>
      <c r="H174" t="s">
        <v>696</v>
      </c>
      <c r="I174" t="s">
        <v>697</v>
      </c>
      <c r="J174" t="s">
        <v>25</v>
      </c>
      <c r="K174" t="s">
        <v>26</v>
      </c>
      <c r="L174" t="s">
        <v>41</v>
      </c>
      <c r="M174" t="s">
        <v>42</v>
      </c>
      <c r="N174">
        <v>90004</v>
      </c>
      <c r="O174" t="s">
        <v>43</v>
      </c>
      <c r="P174" t="s">
        <v>700</v>
      </c>
      <c r="Q174" t="s">
        <v>45</v>
      </c>
      <c r="R174" t="s">
        <v>89</v>
      </c>
      <c r="S174" t="s">
        <v>701</v>
      </c>
      <c r="T174">
        <v>110.96</v>
      </c>
      <c r="U174">
        <v>2</v>
      </c>
      <c r="V174">
        <v>0</v>
      </c>
      <c r="W174">
        <v>53.260800000000003</v>
      </c>
    </row>
    <row r="175" spans="1:23" x14ac:dyDescent="0.35">
      <c r="A175" s="1">
        <v>174</v>
      </c>
      <c r="B175" t="s">
        <v>695</v>
      </c>
      <c r="C175" s="2">
        <v>41856</v>
      </c>
      <c r="D175" s="2">
        <v>41860</v>
      </c>
      <c r="E175" s="2" t="str">
        <f t="shared" si="2"/>
        <v>Aug</v>
      </c>
      <c r="F175" s="5">
        <f>YEAR(Table1[[#This Row],[Order Date]])</f>
        <v>2014</v>
      </c>
      <c r="G175" t="s">
        <v>49</v>
      </c>
      <c r="H175" t="s">
        <v>696</v>
      </c>
      <c r="I175" t="s">
        <v>697</v>
      </c>
      <c r="J175" t="s">
        <v>25</v>
      </c>
      <c r="K175" t="s">
        <v>26</v>
      </c>
      <c r="L175" t="s">
        <v>41</v>
      </c>
      <c r="M175" t="s">
        <v>42</v>
      </c>
      <c r="N175">
        <v>90004</v>
      </c>
      <c r="O175" t="s">
        <v>43</v>
      </c>
      <c r="P175" t="s">
        <v>702</v>
      </c>
      <c r="Q175" t="s">
        <v>31</v>
      </c>
      <c r="R175" t="s">
        <v>35</v>
      </c>
      <c r="S175" t="s">
        <v>703</v>
      </c>
      <c r="T175">
        <v>340.14400000000001</v>
      </c>
      <c r="U175">
        <v>7</v>
      </c>
      <c r="V175">
        <v>0.2</v>
      </c>
      <c r="W175">
        <v>21.259</v>
      </c>
    </row>
    <row r="176" spans="1:23" x14ac:dyDescent="0.35">
      <c r="A176" s="1">
        <v>175</v>
      </c>
      <c r="B176" t="s">
        <v>704</v>
      </c>
      <c r="C176" s="2">
        <v>41896</v>
      </c>
      <c r="D176" s="2">
        <v>41901</v>
      </c>
      <c r="E176" s="2" t="str">
        <f t="shared" si="2"/>
        <v>Sep</v>
      </c>
      <c r="F176" s="5">
        <f>YEAR(Table1[[#This Row],[Order Date]])</f>
        <v>2014</v>
      </c>
      <c r="G176" t="s">
        <v>49</v>
      </c>
      <c r="H176" t="s">
        <v>705</v>
      </c>
      <c r="I176" t="s">
        <v>706</v>
      </c>
      <c r="J176" t="s">
        <v>40</v>
      </c>
      <c r="K176" t="s">
        <v>26</v>
      </c>
      <c r="L176" t="s">
        <v>302</v>
      </c>
      <c r="M176" t="s">
        <v>210</v>
      </c>
      <c r="N176">
        <v>60623</v>
      </c>
      <c r="O176" t="s">
        <v>104</v>
      </c>
      <c r="P176" t="s">
        <v>707</v>
      </c>
      <c r="Q176" t="s">
        <v>45</v>
      </c>
      <c r="R176" t="s">
        <v>77</v>
      </c>
      <c r="S176" t="s">
        <v>708</v>
      </c>
      <c r="T176">
        <v>52.448</v>
      </c>
      <c r="U176">
        <v>2</v>
      </c>
      <c r="V176">
        <v>0.8</v>
      </c>
      <c r="W176">
        <v>-131.12</v>
      </c>
    </row>
    <row r="177" spans="1:23" x14ac:dyDescent="0.35">
      <c r="A177" s="1">
        <v>176</v>
      </c>
      <c r="B177" t="s">
        <v>704</v>
      </c>
      <c r="C177" s="2">
        <v>41896</v>
      </c>
      <c r="D177" s="2">
        <v>41901</v>
      </c>
      <c r="E177" s="2" t="str">
        <f t="shared" si="2"/>
        <v>Sep</v>
      </c>
      <c r="F177" s="5">
        <f>YEAR(Table1[[#This Row],[Order Date]])</f>
        <v>2014</v>
      </c>
      <c r="G177" t="s">
        <v>49</v>
      </c>
      <c r="H177" t="s">
        <v>705</v>
      </c>
      <c r="I177" t="s">
        <v>706</v>
      </c>
      <c r="J177" t="s">
        <v>40</v>
      </c>
      <c r="K177" t="s">
        <v>26</v>
      </c>
      <c r="L177" t="s">
        <v>302</v>
      </c>
      <c r="M177" t="s">
        <v>210</v>
      </c>
      <c r="N177">
        <v>60623</v>
      </c>
      <c r="O177" t="s">
        <v>104</v>
      </c>
      <c r="P177" t="s">
        <v>709</v>
      </c>
      <c r="Q177" t="s">
        <v>45</v>
      </c>
      <c r="R177" t="s">
        <v>46</v>
      </c>
      <c r="S177" t="s">
        <v>710</v>
      </c>
      <c r="T177">
        <v>20.16</v>
      </c>
      <c r="U177">
        <v>4</v>
      </c>
      <c r="V177">
        <v>0.2</v>
      </c>
      <c r="W177">
        <v>6.5519999999999996</v>
      </c>
    </row>
    <row r="178" spans="1:23" x14ac:dyDescent="0.35">
      <c r="A178" s="1">
        <v>177</v>
      </c>
      <c r="B178" t="s">
        <v>711</v>
      </c>
      <c r="C178" s="2">
        <v>42846</v>
      </c>
      <c r="D178" s="2">
        <v>42850</v>
      </c>
      <c r="E178" s="2" t="str">
        <f t="shared" si="2"/>
        <v>Apr</v>
      </c>
      <c r="F178" s="5">
        <f>YEAR(Table1[[#This Row],[Order Date]])</f>
        <v>2017</v>
      </c>
      <c r="G178" t="s">
        <v>22</v>
      </c>
      <c r="H178" t="s">
        <v>712</v>
      </c>
      <c r="I178" t="s">
        <v>713</v>
      </c>
      <c r="J178" t="s">
        <v>25</v>
      </c>
      <c r="K178" t="s">
        <v>26</v>
      </c>
      <c r="L178" t="s">
        <v>183</v>
      </c>
      <c r="M178" t="s">
        <v>103</v>
      </c>
      <c r="N178">
        <v>77036</v>
      </c>
      <c r="O178" t="s">
        <v>104</v>
      </c>
      <c r="P178" t="s">
        <v>714</v>
      </c>
      <c r="Q178" t="s">
        <v>45</v>
      </c>
      <c r="R178" t="s">
        <v>77</v>
      </c>
      <c r="S178" t="s">
        <v>715</v>
      </c>
      <c r="T178">
        <v>97.263999999999996</v>
      </c>
      <c r="U178">
        <v>4</v>
      </c>
      <c r="V178">
        <v>0.8</v>
      </c>
      <c r="W178">
        <v>-243.16</v>
      </c>
    </row>
    <row r="179" spans="1:23" x14ac:dyDescent="0.35">
      <c r="A179" s="1">
        <v>178</v>
      </c>
      <c r="B179" t="s">
        <v>716</v>
      </c>
      <c r="C179" s="2">
        <v>42329</v>
      </c>
      <c r="D179" s="2">
        <v>42331</v>
      </c>
      <c r="E179" s="2" t="str">
        <f t="shared" si="2"/>
        <v>Nov</v>
      </c>
      <c r="F179" s="5">
        <f>YEAR(Table1[[#This Row],[Order Date]])</f>
        <v>2015</v>
      </c>
      <c r="G179" t="s">
        <v>22</v>
      </c>
      <c r="H179" t="s">
        <v>331</v>
      </c>
      <c r="I179" t="s">
        <v>332</v>
      </c>
      <c r="J179" t="s">
        <v>25</v>
      </c>
      <c r="K179" t="s">
        <v>26</v>
      </c>
      <c r="L179" t="s">
        <v>606</v>
      </c>
      <c r="M179" t="s">
        <v>497</v>
      </c>
      <c r="N179">
        <v>43055</v>
      </c>
      <c r="O179" t="s">
        <v>147</v>
      </c>
      <c r="P179" t="s">
        <v>717</v>
      </c>
      <c r="Q179" t="s">
        <v>31</v>
      </c>
      <c r="R179" t="s">
        <v>35</v>
      </c>
      <c r="S179" t="s">
        <v>718</v>
      </c>
      <c r="T179">
        <v>396.80200000000002</v>
      </c>
      <c r="U179">
        <v>7</v>
      </c>
      <c r="V179">
        <v>0.3</v>
      </c>
      <c r="W179">
        <v>-11.337199999999999</v>
      </c>
    </row>
    <row r="180" spans="1:23" x14ac:dyDescent="0.35">
      <c r="A180" s="1">
        <v>179</v>
      </c>
      <c r="B180" t="s">
        <v>716</v>
      </c>
      <c r="C180" s="2">
        <v>42329</v>
      </c>
      <c r="D180" s="2">
        <v>42331</v>
      </c>
      <c r="E180" s="2" t="str">
        <f t="shared" si="2"/>
        <v>Nov</v>
      </c>
      <c r="F180" s="5">
        <f>YEAR(Table1[[#This Row],[Order Date]])</f>
        <v>2015</v>
      </c>
      <c r="G180" t="s">
        <v>22</v>
      </c>
      <c r="H180" t="s">
        <v>331</v>
      </c>
      <c r="I180" t="s">
        <v>332</v>
      </c>
      <c r="J180" t="s">
        <v>25</v>
      </c>
      <c r="K180" t="s">
        <v>26</v>
      </c>
      <c r="L180" t="s">
        <v>606</v>
      </c>
      <c r="M180" t="s">
        <v>497</v>
      </c>
      <c r="N180">
        <v>43055</v>
      </c>
      <c r="O180" t="s">
        <v>147</v>
      </c>
      <c r="P180" t="s">
        <v>719</v>
      </c>
      <c r="Q180" t="s">
        <v>45</v>
      </c>
      <c r="R180" t="s">
        <v>578</v>
      </c>
      <c r="S180" t="s">
        <v>720</v>
      </c>
      <c r="T180">
        <v>15.88</v>
      </c>
      <c r="U180">
        <v>5</v>
      </c>
      <c r="V180">
        <v>0.2</v>
      </c>
      <c r="W180">
        <v>-3.7715000000000001</v>
      </c>
    </row>
    <row r="181" spans="1:23" x14ac:dyDescent="0.35">
      <c r="A181" s="1">
        <v>180</v>
      </c>
      <c r="B181" t="s">
        <v>721</v>
      </c>
      <c r="C181" s="2">
        <v>42353</v>
      </c>
      <c r="D181" s="2">
        <v>42357</v>
      </c>
      <c r="E181" s="2" t="str">
        <f t="shared" si="2"/>
        <v>Dec</v>
      </c>
      <c r="F181" s="5">
        <f>YEAR(Table1[[#This Row],[Order Date]])</f>
        <v>2015</v>
      </c>
      <c r="G181" t="s">
        <v>49</v>
      </c>
      <c r="H181" t="s">
        <v>722</v>
      </c>
      <c r="I181" t="s">
        <v>723</v>
      </c>
      <c r="J181" t="s">
        <v>101</v>
      </c>
      <c r="K181" t="s">
        <v>26</v>
      </c>
      <c r="L181" t="s">
        <v>265</v>
      </c>
      <c r="M181" t="s">
        <v>266</v>
      </c>
      <c r="N181">
        <v>10009</v>
      </c>
      <c r="O181" t="s">
        <v>147</v>
      </c>
      <c r="P181" t="s">
        <v>724</v>
      </c>
      <c r="Q181" t="s">
        <v>45</v>
      </c>
      <c r="R181" t="s">
        <v>67</v>
      </c>
      <c r="S181" t="s">
        <v>725</v>
      </c>
      <c r="T181">
        <v>3.28</v>
      </c>
      <c r="U181">
        <v>1</v>
      </c>
      <c r="V181">
        <v>0</v>
      </c>
      <c r="W181">
        <v>1.4104000000000001</v>
      </c>
    </row>
    <row r="182" spans="1:23" x14ac:dyDescent="0.35">
      <c r="A182" s="1">
        <v>181</v>
      </c>
      <c r="B182" t="s">
        <v>726</v>
      </c>
      <c r="C182" s="2">
        <v>41978</v>
      </c>
      <c r="D182" s="2">
        <v>41982</v>
      </c>
      <c r="E182" s="2" t="str">
        <f t="shared" si="2"/>
        <v>Dec</v>
      </c>
      <c r="F182" s="5">
        <f>YEAR(Table1[[#This Row],[Order Date]])</f>
        <v>2014</v>
      </c>
      <c r="G182" t="s">
        <v>22</v>
      </c>
      <c r="H182" t="s">
        <v>727</v>
      </c>
      <c r="I182" t="s">
        <v>728</v>
      </c>
      <c r="J182" t="s">
        <v>40</v>
      </c>
      <c r="K182" t="s">
        <v>26</v>
      </c>
      <c r="L182" t="s">
        <v>356</v>
      </c>
      <c r="M182" t="s">
        <v>210</v>
      </c>
      <c r="N182">
        <v>62521</v>
      </c>
      <c r="O182" t="s">
        <v>104</v>
      </c>
      <c r="P182" t="s">
        <v>729</v>
      </c>
      <c r="Q182" t="s">
        <v>45</v>
      </c>
      <c r="R182" t="s">
        <v>58</v>
      </c>
      <c r="S182" t="s">
        <v>730</v>
      </c>
      <c r="T182">
        <v>24.815999999999999</v>
      </c>
      <c r="U182">
        <v>2</v>
      </c>
      <c r="V182">
        <v>0.2</v>
      </c>
      <c r="W182">
        <v>1.8612</v>
      </c>
    </row>
    <row r="183" spans="1:23" x14ac:dyDescent="0.35">
      <c r="A183" s="1">
        <v>182</v>
      </c>
      <c r="B183" t="s">
        <v>726</v>
      </c>
      <c r="C183" s="2">
        <v>41978</v>
      </c>
      <c r="D183" s="2">
        <v>41982</v>
      </c>
      <c r="E183" s="2" t="str">
        <f t="shared" si="2"/>
        <v>Dec</v>
      </c>
      <c r="F183" s="5">
        <f>YEAR(Table1[[#This Row],[Order Date]])</f>
        <v>2014</v>
      </c>
      <c r="G183" t="s">
        <v>22</v>
      </c>
      <c r="H183" t="s">
        <v>727</v>
      </c>
      <c r="I183" t="s">
        <v>728</v>
      </c>
      <c r="J183" t="s">
        <v>40</v>
      </c>
      <c r="K183" t="s">
        <v>26</v>
      </c>
      <c r="L183" t="s">
        <v>356</v>
      </c>
      <c r="M183" t="s">
        <v>210</v>
      </c>
      <c r="N183">
        <v>62521</v>
      </c>
      <c r="O183" t="s">
        <v>104</v>
      </c>
      <c r="P183" t="s">
        <v>731</v>
      </c>
      <c r="Q183" t="s">
        <v>70</v>
      </c>
      <c r="R183" t="s">
        <v>160</v>
      </c>
      <c r="S183" t="s">
        <v>732</v>
      </c>
      <c r="T183">
        <v>408.74400000000003</v>
      </c>
      <c r="U183">
        <v>7</v>
      </c>
      <c r="V183">
        <v>0.2</v>
      </c>
      <c r="W183">
        <v>76.639499999999998</v>
      </c>
    </row>
    <row r="184" spans="1:23" x14ac:dyDescent="0.35">
      <c r="A184" s="1">
        <v>183</v>
      </c>
      <c r="B184" t="s">
        <v>733</v>
      </c>
      <c r="C184" s="2">
        <v>41962</v>
      </c>
      <c r="D184" s="2">
        <v>41967</v>
      </c>
      <c r="E184" s="2" t="str">
        <f t="shared" si="2"/>
        <v>Nov</v>
      </c>
      <c r="F184" s="5">
        <f>YEAR(Table1[[#This Row],[Order Date]])</f>
        <v>2014</v>
      </c>
      <c r="G184" t="s">
        <v>22</v>
      </c>
      <c r="H184" t="s">
        <v>734</v>
      </c>
      <c r="I184" t="s">
        <v>735</v>
      </c>
      <c r="J184" t="s">
        <v>101</v>
      </c>
      <c r="K184" t="s">
        <v>26</v>
      </c>
      <c r="L184" t="s">
        <v>736</v>
      </c>
      <c r="M184" t="s">
        <v>737</v>
      </c>
      <c r="N184">
        <v>71203</v>
      </c>
      <c r="O184" t="s">
        <v>29</v>
      </c>
      <c r="P184" t="s">
        <v>738</v>
      </c>
      <c r="Q184" t="s">
        <v>70</v>
      </c>
      <c r="R184" t="s">
        <v>71</v>
      </c>
      <c r="S184" t="s">
        <v>739</v>
      </c>
      <c r="T184">
        <v>503.96</v>
      </c>
      <c r="U184">
        <v>4</v>
      </c>
      <c r="V184">
        <v>0</v>
      </c>
      <c r="W184">
        <v>131.02959999999999</v>
      </c>
    </row>
    <row r="185" spans="1:23" x14ac:dyDescent="0.35">
      <c r="A185" s="1">
        <v>184</v>
      </c>
      <c r="B185" t="s">
        <v>733</v>
      </c>
      <c r="C185" s="2">
        <v>41962</v>
      </c>
      <c r="D185" s="2">
        <v>41967</v>
      </c>
      <c r="E185" s="2" t="str">
        <f t="shared" si="2"/>
        <v>Nov</v>
      </c>
      <c r="F185" s="5">
        <f>YEAR(Table1[[#This Row],[Order Date]])</f>
        <v>2014</v>
      </c>
      <c r="G185" t="s">
        <v>22</v>
      </c>
      <c r="H185" t="s">
        <v>734</v>
      </c>
      <c r="I185" t="s">
        <v>735</v>
      </c>
      <c r="J185" t="s">
        <v>101</v>
      </c>
      <c r="K185" t="s">
        <v>26</v>
      </c>
      <c r="L185" t="s">
        <v>736</v>
      </c>
      <c r="M185" t="s">
        <v>737</v>
      </c>
      <c r="N185">
        <v>71203</v>
      </c>
      <c r="O185" t="s">
        <v>29</v>
      </c>
      <c r="P185" t="s">
        <v>740</v>
      </c>
      <c r="Q185" t="s">
        <v>70</v>
      </c>
      <c r="R185" t="s">
        <v>71</v>
      </c>
      <c r="S185" t="s">
        <v>741</v>
      </c>
      <c r="T185">
        <v>149.94999999999999</v>
      </c>
      <c r="U185">
        <v>5</v>
      </c>
      <c r="V185">
        <v>0</v>
      </c>
      <c r="W185">
        <v>41.985999999999997</v>
      </c>
    </row>
    <row r="186" spans="1:23" x14ac:dyDescent="0.35">
      <c r="A186" s="1">
        <v>185</v>
      </c>
      <c r="B186" t="s">
        <v>733</v>
      </c>
      <c r="C186" s="2">
        <v>41962</v>
      </c>
      <c r="D186" s="2">
        <v>41967</v>
      </c>
      <c r="E186" s="2" t="str">
        <f t="shared" si="2"/>
        <v>Nov</v>
      </c>
      <c r="F186" s="5">
        <f>YEAR(Table1[[#This Row],[Order Date]])</f>
        <v>2014</v>
      </c>
      <c r="G186" t="s">
        <v>22</v>
      </c>
      <c r="H186" t="s">
        <v>734</v>
      </c>
      <c r="I186" t="s">
        <v>735</v>
      </c>
      <c r="J186" t="s">
        <v>101</v>
      </c>
      <c r="K186" t="s">
        <v>26</v>
      </c>
      <c r="L186" t="s">
        <v>736</v>
      </c>
      <c r="M186" t="s">
        <v>737</v>
      </c>
      <c r="N186">
        <v>71203</v>
      </c>
      <c r="O186" t="s">
        <v>29</v>
      </c>
      <c r="P186" t="s">
        <v>742</v>
      </c>
      <c r="Q186" t="s">
        <v>70</v>
      </c>
      <c r="R186" t="s">
        <v>160</v>
      </c>
      <c r="S186" t="s">
        <v>743</v>
      </c>
      <c r="T186">
        <v>29</v>
      </c>
      <c r="U186">
        <v>2</v>
      </c>
      <c r="V186">
        <v>0</v>
      </c>
      <c r="W186">
        <v>7.25</v>
      </c>
    </row>
    <row r="187" spans="1:23" x14ac:dyDescent="0.35">
      <c r="A187" s="1">
        <v>186</v>
      </c>
      <c r="B187" t="s">
        <v>744</v>
      </c>
      <c r="C187" s="2">
        <v>42702</v>
      </c>
      <c r="D187" s="2">
        <v>42706</v>
      </c>
      <c r="E187" s="2" t="str">
        <f t="shared" si="2"/>
        <v>Nov</v>
      </c>
      <c r="F187" s="5">
        <f>YEAR(Table1[[#This Row],[Order Date]])</f>
        <v>2016</v>
      </c>
      <c r="G187" t="s">
        <v>49</v>
      </c>
      <c r="H187" t="s">
        <v>745</v>
      </c>
      <c r="I187" t="s">
        <v>746</v>
      </c>
      <c r="J187" t="s">
        <v>25</v>
      </c>
      <c r="K187" t="s">
        <v>26</v>
      </c>
      <c r="L187" t="s">
        <v>747</v>
      </c>
      <c r="M187" t="s">
        <v>748</v>
      </c>
      <c r="N187">
        <v>6824</v>
      </c>
      <c r="O187" t="s">
        <v>147</v>
      </c>
      <c r="P187" t="s">
        <v>749</v>
      </c>
      <c r="Q187" t="s">
        <v>45</v>
      </c>
      <c r="R187" t="s">
        <v>74</v>
      </c>
      <c r="S187" t="s">
        <v>750</v>
      </c>
      <c r="T187">
        <v>7.16</v>
      </c>
      <c r="U187">
        <v>2</v>
      </c>
      <c r="V187">
        <v>0</v>
      </c>
      <c r="W187">
        <v>3.4367999999999999</v>
      </c>
    </row>
    <row r="188" spans="1:23" x14ac:dyDescent="0.35">
      <c r="A188" s="1">
        <v>187</v>
      </c>
      <c r="B188" t="s">
        <v>751</v>
      </c>
      <c r="C188" s="2">
        <v>41877</v>
      </c>
      <c r="D188" s="2">
        <v>41881</v>
      </c>
      <c r="E188" s="2" t="str">
        <f t="shared" si="2"/>
        <v>Aug</v>
      </c>
      <c r="F188" s="5">
        <f>YEAR(Table1[[#This Row],[Order Date]])</f>
        <v>2014</v>
      </c>
      <c r="G188" t="s">
        <v>49</v>
      </c>
      <c r="H188" t="s">
        <v>752</v>
      </c>
      <c r="I188" t="s">
        <v>753</v>
      </c>
      <c r="J188" t="s">
        <v>101</v>
      </c>
      <c r="K188" t="s">
        <v>26</v>
      </c>
      <c r="L188" t="s">
        <v>41</v>
      </c>
      <c r="M188" t="s">
        <v>42</v>
      </c>
      <c r="N188">
        <v>90032</v>
      </c>
      <c r="O188" t="s">
        <v>43</v>
      </c>
      <c r="P188" t="s">
        <v>754</v>
      </c>
      <c r="Q188" t="s">
        <v>70</v>
      </c>
      <c r="R188" t="s">
        <v>160</v>
      </c>
      <c r="S188" t="s">
        <v>755</v>
      </c>
      <c r="T188">
        <v>176.8</v>
      </c>
      <c r="U188">
        <v>8</v>
      </c>
      <c r="V188">
        <v>0</v>
      </c>
      <c r="W188">
        <v>22.984000000000002</v>
      </c>
    </row>
    <row r="189" spans="1:23" x14ac:dyDescent="0.35">
      <c r="A189" s="1">
        <v>188</v>
      </c>
      <c r="B189" t="s">
        <v>756</v>
      </c>
      <c r="C189" s="2">
        <v>42567</v>
      </c>
      <c r="D189" s="2">
        <v>42573</v>
      </c>
      <c r="E189" s="2" t="str">
        <f t="shared" si="2"/>
        <v>Jul</v>
      </c>
      <c r="F189" s="5">
        <f>YEAR(Table1[[#This Row],[Order Date]])</f>
        <v>2016</v>
      </c>
      <c r="G189" t="s">
        <v>49</v>
      </c>
      <c r="H189" t="s">
        <v>757</v>
      </c>
      <c r="I189" t="s">
        <v>758</v>
      </c>
      <c r="J189" t="s">
        <v>40</v>
      </c>
      <c r="K189" t="s">
        <v>26</v>
      </c>
      <c r="L189" t="s">
        <v>759</v>
      </c>
      <c r="M189" t="s">
        <v>103</v>
      </c>
      <c r="N189">
        <v>75051</v>
      </c>
      <c r="O189" t="s">
        <v>104</v>
      </c>
      <c r="P189" t="s">
        <v>760</v>
      </c>
      <c r="Q189" t="s">
        <v>45</v>
      </c>
      <c r="R189" t="s">
        <v>58</v>
      </c>
      <c r="S189" t="s">
        <v>761</v>
      </c>
      <c r="T189">
        <v>37.223999999999997</v>
      </c>
      <c r="U189">
        <v>3</v>
      </c>
      <c r="V189">
        <v>0.2</v>
      </c>
      <c r="W189">
        <v>3.7223999999999999</v>
      </c>
    </row>
    <row r="190" spans="1:23" x14ac:dyDescent="0.35">
      <c r="A190" s="1">
        <v>189</v>
      </c>
      <c r="B190" t="s">
        <v>756</v>
      </c>
      <c r="C190" s="2">
        <v>42567</v>
      </c>
      <c r="D190" s="2">
        <v>42573</v>
      </c>
      <c r="E190" s="2" t="str">
        <f t="shared" si="2"/>
        <v>Jul</v>
      </c>
      <c r="F190" s="5">
        <f>YEAR(Table1[[#This Row],[Order Date]])</f>
        <v>2016</v>
      </c>
      <c r="G190" t="s">
        <v>49</v>
      </c>
      <c r="H190" t="s">
        <v>757</v>
      </c>
      <c r="I190" t="s">
        <v>758</v>
      </c>
      <c r="J190" t="s">
        <v>40</v>
      </c>
      <c r="K190" t="s">
        <v>26</v>
      </c>
      <c r="L190" t="s">
        <v>759</v>
      </c>
      <c r="M190" t="s">
        <v>103</v>
      </c>
      <c r="N190">
        <v>75051</v>
      </c>
      <c r="O190" t="s">
        <v>104</v>
      </c>
      <c r="P190" t="s">
        <v>631</v>
      </c>
      <c r="Q190" t="s">
        <v>45</v>
      </c>
      <c r="R190" t="s">
        <v>89</v>
      </c>
      <c r="S190" t="s">
        <v>632</v>
      </c>
      <c r="T190">
        <v>20.015999999999998</v>
      </c>
      <c r="U190">
        <v>3</v>
      </c>
      <c r="V190">
        <v>0.2</v>
      </c>
      <c r="W190">
        <v>6.2549999999999999</v>
      </c>
    </row>
    <row r="191" spans="1:23" x14ac:dyDescent="0.35">
      <c r="A191" s="1">
        <v>190</v>
      </c>
      <c r="B191" t="s">
        <v>762</v>
      </c>
      <c r="C191" s="2">
        <v>42289</v>
      </c>
      <c r="D191" s="2">
        <v>42291</v>
      </c>
      <c r="E191" s="2" t="str">
        <f t="shared" si="2"/>
        <v>Oct</v>
      </c>
      <c r="F191" s="5">
        <f>YEAR(Table1[[#This Row],[Order Date]])</f>
        <v>2015</v>
      </c>
      <c r="G191" t="s">
        <v>187</v>
      </c>
      <c r="H191" t="s">
        <v>763</v>
      </c>
      <c r="I191" t="s">
        <v>764</v>
      </c>
      <c r="J191" t="s">
        <v>101</v>
      </c>
      <c r="K191" t="s">
        <v>26</v>
      </c>
      <c r="L191" t="s">
        <v>265</v>
      </c>
      <c r="M191" t="s">
        <v>266</v>
      </c>
      <c r="N191">
        <v>10035</v>
      </c>
      <c r="O191" t="s">
        <v>147</v>
      </c>
      <c r="P191" t="s">
        <v>765</v>
      </c>
      <c r="Q191" t="s">
        <v>31</v>
      </c>
      <c r="R191" t="s">
        <v>32</v>
      </c>
      <c r="S191" t="s">
        <v>766</v>
      </c>
      <c r="T191">
        <v>899.13599999999997</v>
      </c>
      <c r="U191">
        <v>4</v>
      </c>
      <c r="V191">
        <v>0.2</v>
      </c>
      <c r="W191">
        <v>112.392</v>
      </c>
    </row>
    <row r="192" spans="1:23" x14ac:dyDescent="0.35">
      <c r="A192" s="1">
        <v>191</v>
      </c>
      <c r="B192" t="s">
        <v>762</v>
      </c>
      <c r="C192" s="2">
        <v>42289</v>
      </c>
      <c r="D192" s="2">
        <v>42291</v>
      </c>
      <c r="E192" s="2" t="str">
        <f t="shared" si="2"/>
        <v>Oct</v>
      </c>
      <c r="F192" s="5">
        <f>YEAR(Table1[[#This Row],[Order Date]])</f>
        <v>2015</v>
      </c>
      <c r="G192" t="s">
        <v>187</v>
      </c>
      <c r="H192" t="s">
        <v>763</v>
      </c>
      <c r="I192" t="s">
        <v>764</v>
      </c>
      <c r="J192" t="s">
        <v>101</v>
      </c>
      <c r="K192" t="s">
        <v>26</v>
      </c>
      <c r="L192" t="s">
        <v>265</v>
      </c>
      <c r="M192" t="s">
        <v>266</v>
      </c>
      <c r="N192">
        <v>10035</v>
      </c>
      <c r="O192" t="s">
        <v>147</v>
      </c>
      <c r="P192" t="s">
        <v>767</v>
      </c>
      <c r="Q192" t="s">
        <v>70</v>
      </c>
      <c r="R192" t="s">
        <v>71</v>
      </c>
      <c r="S192" t="s">
        <v>768</v>
      </c>
      <c r="T192">
        <v>71.760000000000005</v>
      </c>
      <c r="U192">
        <v>6</v>
      </c>
      <c r="V192">
        <v>0</v>
      </c>
      <c r="W192">
        <v>20.0928</v>
      </c>
    </row>
    <row r="193" spans="1:23" x14ac:dyDescent="0.35">
      <c r="A193" s="1">
        <v>192</v>
      </c>
      <c r="B193" t="s">
        <v>762</v>
      </c>
      <c r="C193" s="2">
        <v>42289</v>
      </c>
      <c r="D193" s="2">
        <v>42291</v>
      </c>
      <c r="E193" s="2" t="str">
        <f t="shared" si="2"/>
        <v>Oct</v>
      </c>
      <c r="F193" s="5">
        <f>YEAR(Table1[[#This Row],[Order Date]])</f>
        <v>2015</v>
      </c>
      <c r="G193" t="s">
        <v>187</v>
      </c>
      <c r="H193" t="s">
        <v>763</v>
      </c>
      <c r="I193" t="s">
        <v>764</v>
      </c>
      <c r="J193" t="s">
        <v>101</v>
      </c>
      <c r="K193" t="s">
        <v>26</v>
      </c>
      <c r="L193" t="s">
        <v>265</v>
      </c>
      <c r="M193" t="s">
        <v>266</v>
      </c>
      <c r="N193">
        <v>10035</v>
      </c>
      <c r="O193" t="s">
        <v>147</v>
      </c>
      <c r="P193" t="s">
        <v>769</v>
      </c>
      <c r="Q193" t="s">
        <v>45</v>
      </c>
      <c r="R193" t="s">
        <v>89</v>
      </c>
      <c r="S193" t="s">
        <v>770</v>
      </c>
      <c r="T193">
        <v>51.84</v>
      </c>
      <c r="U193">
        <v>8</v>
      </c>
      <c r="V193">
        <v>0</v>
      </c>
      <c r="W193">
        <v>24.883199999999999</v>
      </c>
    </row>
    <row r="194" spans="1:23" x14ac:dyDescent="0.35">
      <c r="A194" s="1">
        <v>193</v>
      </c>
      <c r="B194" t="s">
        <v>762</v>
      </c>
      <c r="C194" s="2">
        <v>42289</v>
      </c>
      <c r="D194" s="2">
        <v>42291</v>
      </c>
      <c r="E194" s="2" t="str">
        <f t="shared" ref="E194:E257" si="3">TEXT(C194,"mmm")</f>
        <v>Oct</v>
      </c>
      <c r="F194" s="5">
        <f>YEAR(Table1[[#This Row],[Order Date]])</f>
        <v>2015</v>
      </c>
      <c r="G194" t="s">
        <v>187</v>
      </c>
      <c r="H194" t="s">
        <v>763</v>
      </c>
      <c r="I194" t="s">
        <v>764</v>
      </c>
      <c r="J194" t="s">
        <v>101</v>
      </c>
      <c r="K194" t="s">
        <v>26</v>
      </c>
      <c r="L194" t="s">
        <v>265</v>
      </c>
      <c r="M194" t="s">
        <v>266</v>
      </c>
      <c r="N194">
        <v>10035</v>
      </c>
      <c r="O194" t="s">
        <v>147</v>
      </c>
      <c r="P194" t="s">
        <v>200</v>
      </c>
      <c r="Q194" t="s">
        <v>31</v>
      </c>
      <c r="R194" t="s">
        <v>32</v>
      </c>
      <c r="S194" t="s">
        <v>201</v>
      </c>
      <c r="T194">
        <v>626.35199999999998</v>
      </c>
      <c r="U194">
        <v>3</v>
      </c>
      <c r="V194">
        <v>0.2</v>
      </c>
      <c r="W194">
        <v>46.976399999999998</v>
      </c>
    </row>
    <row r="195" spans="1:23" x14ac:dyDescent="0.35">
      <c r="A195" s="1">
        <v>194</v>
      </c>
      <c r="B195" t="s">
        <v>762</v>
      </c>
      <c r="C195" s="2">
        <v>42289</v>
      </c>
      <c r="D195" s="2">
        <v>42291</v>
      </c>
      <c r="E195" s="2" t="str">
        <f t="shared" si="3"/>
        <v>Oct</v>
      </c>
      <c r="F195" s="5">
        <f>YEAR(Table1[[#This Row],[Order Date]])</f>
        <v>2015</v>
      </c>
      <c r="G195" t="s">
        <v>187</v>
      </c>
      <c r="H195" t="s">
        <v>763</v>
      </c>
      <c r="I195" t="s">
        <v>764</v>
      </c>
      <c r="J195" t="s">
        <v>101</v>
      </c>
      <c r="K195" t="s">
        <v>26</v>
      </c>
      <c r="L195" t="s">
        <v>265</v>
      </c>
      <c r="M195" t="s">
        <v>266</v>
      </c>
      <c r="N195">
        <v>10035</v>
      </c>
      <c r="O195" t="s">
        <v>147</v>
      </c>
      <c r="P195" t="s">
        <v>771</v>
      </c>
      <c r="Q195" t="s">
        <v>45</v>
      </c>
      <c r="R195" t="s">
        <v>67</v>
      </c>
      <c r="S195" t="s">
        <v>772</v>
      </c>
      <c r="T195">
        <v>19.899999999999999</v>
      </c>
      <c r="U195">
        <v>5</v>
      </c>
      <c r="V195">
        <v>0</v>
      </c>
      <c r="W195">
        <v>6.5670000000000002</v>
      </c>
    </row>
    <row r="196" spans="1:23" x14ac:dyDescent="0.35">
      <c r="A196" s="1">
        <v>195</v>
      </c>
      <c r="B196" t="s">
        <v>773</v>
      </c>
      <c r="C196" s="2">
        <v>42308</v>
      </c>
      <c r="D196" s="2">
        <v>42314</v>
      </c>
      <c r="E196" s="2" t="str">
        <f t="shared" si="3"/>
        <v>Oct</v>
      </c>
      <c r="F196" s="5">
        <f>YEAR(Table1[[#This Row],[Order Date]])</f>
        <v>2015</v>
      </c>
      <c r="G196" t="s">
        <v>49</v>
      </c>
      <c r="H196" t="s">
        <v>774</v>
      </c>
      <c r="I196" t="s">
        <v>775</v>
      </c>
      <c r="J196" t="s">
        <v>40</v>
      </c>
      <c r="K196" t="s">
        <v>26</v>
      </c>
      <c r="L196" t="s">
        <v>776</v>
      </c>
      <c r="M196" t="s">
        <v>42</v>
      </c>
      <c r="N196">
        <v>92374</v>
      </c>
      <c r="O196" t="s">
        <v>43</v>
      </c>
      <c r="P196" t="s">
        <v>171</v>
      </c>
      <c r="Q196" t="s">
        <v>45</v>
      </c>
      <c r="R196" t="s">
        <v>172</v>
      </c>
      <c r="S196" t="s">
        <v>173</v>
      </c>
      <c r="T196">
        <v>14.28</v>
      </c>
      <c r="U196">
        <v>7</v>
      </c>
      <c r="V196">
        <v>0</v>
      </c>
      <c r="W196">
        <v>6.7115999999999998</v>
      </c>
    </row>
    <row r="197" spans="1:23" x14ac:dyDescent="0.35">
      <c r="A197" s="1">
        <v>196</v>
      </c>
      <c r="B197" t="s">
        <v>777</v>
      </c>
      <c r="C197" s="2">
        <v>41719</v>
      </c>
      <c r="D197" s="2">
        <v>41723</v>
      </c>
      <c r="E197" s="2" t="str">
        <f t="shared" si="3"/>
        <v>Mar</v>
      </c>
      <c r="F197" s="5">
        <f>YEAR(Table1[[#This Row],[Order Date]])</f>
        <v>2014</v>
      </c>
      <c r="G197" t="s">
        <v>49</v>
      </c>
      <c r="H197" t="s">
        <v>778</v>
      </c>
      <c r="I197" t="s">
        <v>779</v>
      </c>
      <c r="J197" t="s">
        <v>25</v>
      </c>
      <c r="K197" t="s">
        <v>26</v>
      </c>
      <c r="L197" t="s">
        <v>780</v>
      </c>
      <c r="M197" t="s">
        <v>497</v>
      </c>
      <c r="N197">
        <v>45011</v>
      </c>
      <c r="O197" t="s">
        <v>147</v>
      </c>
      <c r="P197" t="s">
        <v>781</v>
      </c>
      <c r="Q197" t="s">
        <v>45</v>
      </c>
      <c r="R197" t="s">
        <v>67</v>
      </c>
      <c r="S197" t="s">
        <v>782</v>
      </c>
      <c r="T197">
        <v>7.4080000000000004</v>
      </c>
      <c r="U197">
        <v>2</v>
      </c>
      <c r="V197">
        <v>0.2</v>
      </c>
      <c r="W197">
        <v>1.2038</v>
      </c>
    </row>
    <row r="198" spans="1:23" x14ac:dyDescent="0.35">
      <c r="A198" s="1">
        <v>197</v>
      </c>
      <c r="B198" t="s">
        <v>777</v>
      </c>
      <c r="C198" s="2">
        <v>41719</v>
      </c>
      <c r="D198" s="2">
        <v>41723</v>
      </c>
      <c r="E198" s="2" t="str">
        <f t="shared" si="3"/>
        <v>Mar</v>
      </c>
      <c r="F198" s="5">
        <f>YEAR(Table1[[#This Row],[Order Date]])</f>
        <v>2014</v>
      </c>
      <c r="G198" t="s">
        <v>49</v>
      </c>
      <c r="H198" t="s">
        <v>778</v>
      </c>
      <c r="I198" t="s">
        <v>779</v>
      </c>
      <c r="J198" t="s">
        <v>25</v>
      </c>
      <c r="K198" t="s">
        <v>26</v>
      </c>
      <c r="L198" t="s">
        <v>780</v>
      </c>
      <c r="M198" t="s">
        <v>497</v>
      </c>
      <c r="N198">
        <v>45011</v>
      </c>
      <c r="O198" t="s">
        <v>147</v>
      </c>
      <c r="P198" t="s">
        <v>783</v>
      </c>
      <c r="Q198" t="s">
        <v>45</v>
      </c>
      <c r="R198" t="s">
        <v>67</v>
      </c>
      <c r="S198" t="s">
        <v>784</v>
      </c>
      <c r="T198">
        <v>6.048</v>
      </c>
      <c r="U198">
        <v>3</v>
      </c>
      <c r="V198">
        <v>0.2</v>
      </c>
      <c r="W198">
        <v>1.5875999999999999</v>
      </c>
    </row>
    <row r="199" spans="1:23" x14ac:dyDescent="0.35">
      <c r="A199" s="1">
        <v>198</v>
      </c>
      <c r="B199" t="s">
        <v>785</v>
      </c>
      <c r="C199" s="2">
        <v>43045</v>
      </c>
      <c r="D199" s="2">
        <v>43052</v>
      </c>
      <c r="E199" s="2" t="str">
        <f t="shared" si="3"/>
        <v>Nov</v>
      </c>
      <c r="F199" s="5">
        <f>YEAR(Table1[[#This Row],[Order Date]])</f>
        <v>2017</v>
      </c>
      <c r="G199" t="s">
        <v>49</v>
      </c>
      <c r="H199" t="s">
        <v>786</v>
      </c>
      <c r="I199" t="s">
        <v>787</v>
      </c>
      <c r="J199" t="s">
        <v>101</v>
      </c>
      <c r="K199" t="s">
        <v>26</v>
      </c>
      <c r="L199" t="s">
        <v>788</v>
      </c>
      <c r="M199" t="s">
        <v>789</v>
      </c>
      <c r="N199">
        <v>7090</v>
      </c>
      <c r="O199" t="s">
        <v>147</v>
      </c>
      <c r="P199" t="s">
        <v>790</v>
      </c>
      <c r="Q199" t="s">
        <v>45</v>
      </c>
      <c r="R199" t="s">
        <v>58</v>
      </c>
      <c r="S199" t="s">
        <v>791</v>
      </c>
      <c r="T199">
        <v>46.26</v>
      </c>
      <c r="U199">
        <v>3</v>
      </c>
      <c r="V199">
        <v>0</v>
      </c>
      <c r="W199">
        <v>12.0276</v>
      </c>
    </row>
    <row r="200" spans="1:23" x14ac:dyDescent="0.35">
      <c r="A200" s="1">
        <v>199</v>
      </c>
      <c r="B200" t="s">
        <v>792</v>
      </c>
      <c r="C200" s="2">
        <v>42922</v>
      </c>
      <c r="D200" s="2">
        <v>42929</v>
      </c>
      <c r="E200" s="2" t="str">
        <f t="shared" si="3"/>
        <v>Jul</v>
      </c>
      <c r="F200" s="5">
        <f>YEAR(Table1[[#This Row],[Order Date]])</f>
        <v>2017</v>
      </c>
      <c r="G200" t="s">
        <v>49</v>
      </c>
      <c r="H200" t="s">
        <v>793</v>
      </c>
      <c r="I200" t="s">
        <v>794</v>
      </c>
      <c r="J200" t="s">
        <v>40</v>
      </c>
      <c r="K200" t="s">
        <v>26</v>
      </c>
      <c r="L200" t="s">
        <v>145</v>
      </c>
      <c r="M200" t="s">
        <v>146</v>
      </c>
      <c r="N200">
        <v>19120</v>
      </c>
      <c r="O200" t="s">
        <v>147</v>
      </c>
      <c r="P200" t="s">
        <v>795</v>
      </c>
      <c r="Q200" t="s">
        <v>45</v>
      </c>
      <c r="R200" t="s">
        <v>74</v>
      </c>
      <c r="S200" t="s">
        <v>796</v>
      </c>
      <c r="T200">
        <v>2.9460000000000002</v>
      </c>
      <c r="U200">
        <v>2</v>
      </c>
      <c r="V200">
        <v>0.7</v>
      </c>
      <c r="W200">
        <v>-2.2585999999999999</v>
      </c>
    </row>
    <row r="201" spans="1:23" x14ac:dyDescent="0.35">
      <c r="A201" s="1">
        <v>200</v>
      </c>
      <c r="B201" t="s">
        <v>792</v>
      </c>
      <c r="C201" s="2">
        <v>42922</v>
      </c>
      <c r="D201" s="2">
        <v>42929</v>
      </c>
      <c r="E201" s="2" t="str">
        <f t="shared" si="3"/>
        <v>Jul</v>
      </c>
      <c r="F201" s="5">
        <f>YEAR(Table1[[#This Row],[Order Date]])</f>
        <v>2017</v>
      </c>
      <c r="G201" t="s">
        <v>49</v>
      </c>
      <c r="H201" t="s">
        <v>793</v>
      </c>
      <c r="I201" t="s">
        <v>794</v>
      </c>
      <c r="J201" t="s">
        <v>40</v>
      </c>
      <c r="K201" t="s">
        <v>26</v>
      </c>
      <c r="L201" t="s">
        <v>145</v>
      </c>
      <c r="M201" t="s">
        <v>146</v>
      </c>
      <c r="N201">
        <v>19120</v>
      </c>
      <c r="O201" t="s">
        <v>147</v>
      </c>
      <c r="P201" t="s">
        <v>797</v>
      </c>
      <c r="Q201" t="s">
        <v>45</v>
      </c>
      <c r="R201" t="s">
        <v>89</v>
      </c>
      <c r="S201" t="s">
        <v>798</v>
      </c>
      <c r="T201">
        <v>16.056000000000001</v>
      </c>
      <c r="U201">
        <v>3</v>
      </c>
      <c r="V201">
        <v>0.2</v>
      </c>
      <c r="W201">
        <v>5.8202999999999996</v>
      </c>
    </row>
    <row r="202" spans="1:23" x14ac:dyDescent="0.35">
      <c r="A202" s="1">
        <v>201</v>
      </c>
      <c r="B202" t="s">
        <v>799</v>
      </c>
      <c r="C202" s="2">
        <v>42910</v>
      </c>
      <c r="D202" s="2">
        <v>42915</v>
      </c>
      <c r="E202" s="2" t="str">
        <f t="shared" si="3"/>
        <v>Jun</v>
      </c>
      <c r="F202" s="5">
        <f>YEAR(Table1[[#This Row],[Order Date]])</f>
        <v>2017</v>
      </c>
      <c r="G202" t="s">
        <v>49</v>
      </c>
      <c r="H202" t="s">
        <v>800</v>
      </c>
      <c r="I202" t="s">
        <v>801</v>
      </c>
      <c r="J202" t="s">
        <v>25</v>
      </c>
      <c r="K202" t="s">
        <v>26</v>
      </c>
      <c r="L202" t="s">
        <v>802</v>
      </c>
      <c r="M202" t="s">
        <v>497</v>
      </c>
      <c r="N202">
        <v>44312</v>
      </c>
      <c r="O202" t="s">
        <v>147</v>
      </c>
      <c r="P202" t="s">
        <v>803</v>
      </c>
      <c r="Q202" t="s">
        <v>45</v>
      </c>
      <c r="R202" t="s">
        <v>89</v>
      </c>
      <c r="S202" t="s">
        <v>804</v>
      </c>
      <c r="T202">
        <v>21.744</v>
      </c>
      <c r="U202">
        <v>3</v>
      </c>
      <c r="V202">
        <v>0.2</v>
      </c>
      <c r="W202">
        <v>6.7949999999999999</v>
      </c>
    </row>
    <row r="203" spans="1:23" x14ac:dyDescent="0.35">
      <c r="A203" s="1">
        <v>202</v>
      </c>
      <c r="B203" t="s">
        <v>805</v>
      </c>
      <c r="C203" s="2">
        <v>41854</v>
      </c>
      <c r="D203" s="2">
        <v>41856</v>
      </c>
      <c r="E203" s="2" t="str">
        <f t="shared" si="3"/>
        <v>Aug</v>
      </c>
      <c r="F203" s="5">
        <f>YEAR(Table1[[#This Row],[Order Date]])</f>
        <v>2014</v>
      </c>
      <c r="G203" t="s">
        <v>187</v>
      </c>
      <c r="H203" t="s">
        <v>806</v>
      </c>
      <c r="I203" t="s">
        <v>807</v>
      </c>
      <c r="J203" t="s">
        <v>25</v>
      </c>
      <c r="K203" t="s">
        <v>26</v>
      </c>
      <c r="L203" t="s">
        <v>808</v>
      </c>
      <c r="M203" t="s">
        <v>456</v>
      </c>
      <c r="N203">
        <v>80219</v>
      </c>
      <c r="O203" t="s">
        <v>43</v>
      </c>
      <c r="P203" t="s">
        <v>809</v>
      </c>
      <c r="Q203" t="s">
        <v>31</v>
      </c>
      <c r="R203" t="s">
        <v>55</v>
      </c>
      <c r="S203" t="s">
        <v>810</v>
      </c>
      <c r="T203">
        <v>218.75</v>
      </c>
      <c r="U203">
        <v>2</v>
      </c>
      <c r="V203">
        <v>0.5</v>
      </c>
      <c r="W203">
        <v>-161.875</v>
      </c>
    </row>
    <row r="204" spans="1:23" x14ac:dyDescent="0.35">
      <c r="A204" s="1">
        <v>203</v>
      </c>
      <c r="B204" t="s">
        <v>805</v>
      </c>
      <c r="C204" s="2">
        <v>41854</v>
      </c>
      <c r="D204" s="2">
        <v>41856</v>
      </c>
      <c r="E204" s="2" t="str">
        <f t="shared" si="3"/>
        <v>Aug</v>
      </c>
      <c r="F204" s="5">
        <f>YEAR(Table1[[#This Row],[Order Date]])</f>
        <v>2014</v>
      </c>
      <c r="G204" t="s">
        <v>187</v>
      </c>
      <c r="H204" t="s">
        <v>806</v>
      </c>
      <c r="I204" t="s">
        <v>807</v>
      </c>
      <c r="J204" t="s">
        <v>25</v>
      </c>
      <c r="K204" t="s">
        <v>26</v>
      </c>
      <c r="L204" t="s">
        <v>808</v>
      </c>
      <c r="M204" t="s">
        <v>456</v>
      </c>
      <c r="N204">
        <v>80219</v>
      </c>
      <c r="O204" t="s">
        <v>43</v>
      </c>
      <c r="P204" t="s">
        <v>811</v>
      </c>
      <c r="Q204" t="s">
        <v>45</v>
      </c>
      <c r="R204" t="s">
        <v>77</v>
      </c>
      <c r="S204" t="s">
        <v>812</v>
      </c>
      <c r="T204">
        <v>2.6</v>
      </c>
      <c r="U204">
        <v>1</v>
      </c>
      <c r="V204">
        <v>0.2</v>
      </c>
      <c r="W204">
        <v>0.29249999999999998</v>
      </c>
    </row>
    <row r="205" spans="1:23" x14ac:dyDescent="0.35">
      <c r="A205" s="1">
        <v>204</v>
      </c>
      <c r="B205" t="s">
        <v>813</v>
      </c>
      <c r="C205" s="2">
        <v>43086</v>
      </c>
      <c r="D205" s="2">
        <v>43090</v>
      </c>
      <c r="E205" s="2" t="str">
        <f t="shared" si="3"/>
        <v>Dec</v>
      </c>
      <c r="F205" s="5">
        <f>YEAR(Table1[[#This Row],[Order Date]])</f>
        <v>2017</v>
      </c>
      <c r="G205" t="s">
        <v>22</v>
      </c>
      <c r="H205" t="s">
        <v>814</v>
      </c>
      <c r="I205" t="s">
        <v>815</v>
      </c>
      <c r="J205" t="s">
        <v>25</v>
      </c>
      <c r="K205" t="s">
        <v>26</v>
      </c>
      <c r="L205" t="s">
        <v>816</v>
      </c>
      <c r="M205" t="s">
        <v>103</v>
      </c>
      <c r="N205">
        <v>75220</v>
      </c>
      <c r="O205" t="s">
        <v>104</v>
      </c>
      <c r="P205" t="s">
        <v>817</v>
      </c>
      <c r="Q205" t="s">
        <v>45</v>
      </c>
      <c r="R205" t="s">
        <v>77</v>
      </c>
      <c r="S205" t="s">
        <v>818</v>
      </c>
      <c r="T205">
        <v>66.284000000000006</v>
      </c>
      <c r="U205">
        <v>2</v>
      </c>
      <c r="V205">
        <v>0.8</v>
      </c>
      <c r="W205">
        <v>-178.96680000000001</v>
      </c>
    </row>
    <row r="206" spans="1:23" x14ac:dyDescent="0.35">
      <c r="A206" s="1">
        <v>205</v>
      </c>
      <c r="B206" t="s">
        <v>819</v>
      </c>
      <c r="C206" s="2">
        <v>42889</v>
      </c>
      <c r="D206" s="2">
        <v>42893</v>
      </c>
      <c r="E206" s="2" t="str">
        <f t="shared" si="3"/>
        <v>Jun</v>
      </c>
      <c r="F206" s="5">
        <f>YEAR(Table1[[#This Row],[Order Date]])</f>
        <v>2017</v>
      </c>
      <c r="G206" t="s">
        <v>49</v>
      </c>
      <c r="H206" t="s">
        <v>820</v>
      </c>
      <c r="I206" t="s">
        <v>821</v>
      </c>
      <c r="J206" t="s">
        <v>40</v>
      </c>
      <c r="K206" t="s">
        <v>26</v>
      </c>
      <c r="L206" t="s">
        <v>612</v>
      </c>
      <c r="M206" t="s">
        <v>334</v>
      </c>
      <c r="N206">
        <v>37064</v>
      </c>
      <c r="O206" t="s">
        <v>29</v>
      </c>
      <c r="P206" t="s">
        <v>822</v>
      </c>
      <c r="Q206" t="s">
        <v>31</v>
      </c>
      <c r="R206" t="s">
        <v>64</v>
      </c>
      <c r="S206" t="s">
        <v>823</v>
      </c>
      <c r="T206">
        <v>35.167999999999999</v>
      </c>
      <c r="U206">
        <v>7</v>
      </c>
      <c r="V206">
        <v>0.2</v>
      </c>
      <c r="W206">
        <v>9.6712000000000007</v>
      </c>
    </row>
    <row r="207" spans="1:23" x14ac:dyDescent="0.35">
      <c r="A207" s="1">
        <v>206</v>
      </c>
      <c r="B207" t="s">
        <v>824</v>
      </c>
      <c r="C207" s="2">
        <v>43078</v>
      </c>
      <c r="D207" s="2">
        <v>43083</v>
      </c>
      <c r="E207" s="2" t="str">
        <f t="shared" si="3"/>
        <v>Dec</v>
      </c>
      <c r="F207" s="5">
        <f>YEAR(Table1[[#This Row],[Order Date]])</f>
        <v>2017</v>
      </c>
      <c r="G207" t="s">
        <v>49</v>
      </c>
      <c r="H207" t="s">
        <v>825</v>
      </c>
      <c r="I207" t="s">
        <v>826</v>
      </c>
      <c r="J207" t="s">
        <v>25</v>
      </c>
      <c r="K207" t="s">
        <v>26</v>
      </c>
      <c r="L207" t="s">
        <v>827</v>
      </c>
      <c r="M207" t="s">
        <v>42</v>
      </c>
      <c r="N207">
        <v>90604</v>
      </c>
      <c r="O207" t="s">
        <v>43</v>
      </c>
      <c r="P207" t="s">
        <v>828</v>
      </c>
      <c r="Q207" t="s">
        <v>70</v>
      </c>
      <c r="R207" t="s">
        <v>71</v>
      </c>
      <c r="S207" t="s">
        <v>829</v>
      </c>
      <c r="T207">
        <v>444.76799999999997</v>
      </c>
      <c r="U207">
        <v>4</v>
      </c>
      <c r="V207">
        <v>0.2</v>
      </c>
      <c r="W207">
        <v>44.476799999999997</v>
      </c>
    </row>
    <row r="208" spans="1:23" x14ac:dyDescent="0.35">
      <c r="A208" s="1">
        <v>207</v>
      </c>
      <c r="B208" t="s">
        <v>830</v>
      </c>
      <c r="C208" s="2">
        <v>43070</v>
      </c>
      <c r="D208" s="2">
        <v>43076</v>
      </c>
      <c r="E208" s="2" t="str">
        <f t="shared" si="3"/>
        <v>Dec</v>
      </c>
      <c r="F208" s="5">
        <f>YEAR(Table1[[#This Row],[Order Date]])</f>
        <v>2017</v>
      </c>
      <c r="G208" t="s">
        <v>49</v>
      </c>
      <c r="H208" t="s">
        <v>831</v>
      </c>
      <c r="I208" t="s">
        <v>832</v>
      </c>
      <c r="J208" t="s">
        <v>25</v>
      </c>
      <c r="K208" t="s">
        <v>26</v>
      </c>
      <c r="L208" t="s">
        <v>833</v>
      </c>
      <c r="M208" t="s">
        <v>237</v>
      </c>
      <c r="N208">
        <v>48601</v>
      </c>
      <c r="O208" t="s">
        <v>104</v>
      </c>
      <c r="P208" t="s">
        <v>834</v>
      </c>
      <c r="Q208" t="s">
        <v>45</v>
      </c>
      <c r="R208" t="s">
        <v>58</v>
      </c>
      <c r="S208" t="s">
        <v>835</v>
      </c>
      <c r="T208">
        <v>83.92</v>
      </c>
      <c r="U208">
        <v>4</v>
      </c>
      <c r="V208">
        <v>0</v>
      </c>
      <c r="W208">
        <v>5.8743999999999996</v>
      </c>
    </row>
    <row r="209" spans="1:23" x14ac:dyDescent="0.35">
      <c r="A209" s="1">
        <v>208</v>
      </c>
      <c r="B209" t="s">
        <v>830</v>
      </c>
      <c r="C209" s="2">
        <v>43070</v>
      </c>
      <c r="D209" s="2">
        <v>43076</v>
      </c>
      <c r="E209" s="2" t="str">
        <f t="shared" si="3"/>
        <v>Dec</v>
      </c>
      <c r="F209" s="5">
        <f>YEAR(Table1[[#This Row],[Order Date]])</f>
        <v>2017</v>
      </c>
      <c r="G209" t="s">
        <v>49</v>
      </c>
      <c r="H209" t="s">
        <v>831</v>
      </c>
      <c r="I209" t="s">
        <v>832</v>
      </c>
      <c r="J209" t="s">
        <v>25</v>
      </c>
      <c r="K209" t="s">
        <v>26</v>
      </c>
      <c r="L209" t="s">
        <v>833</v>
      </c>
      <c r="M209" t="s">
        <v>237</v>
      </c>
      <c r="N209">
        <v>48601</v>
      </c>
      <c r="O209" t="s">
        <v>104</v>
      </c>
      <c r="P209" t="s">
        <v>836</v>
      </c>
      <c r="Q209" t="s">
        <v>70</v>
      </c>
      <c r="R209" t="s">
        <v>71</v>
      </c>
      <c r="S209" t="s">
        <v>837</v>
      </c>
      <c r="T209">
        <v>131.97999999999999</v>
      </c>
      <c r="U209">
        <v>2</v>
      </c>
      <c r="V209">
        <v>0</v>
      </c>
      <c r="W209">
        <v>35.634599999999999</v>
      </c>
    </row>
    <row r="210" spans="1:23" x14ac:dyDescent="0.35">
      <c r="A210" s="1">
        <v>209</v>
      </c>
      <c r="B210" t="s">
        <v>830</v>
      </c>
      <c r="C210" s="2">
        <v>43070</v>
      </c>
      <c r="D210" s="2">
        <v>43076</v>
      </c>
      <c r="E210" s="2" t="str">
        <f t="shared" si="3"/>
        <v>Dec</v>
      </c>
      <c r="F210" s="5">
        <f>YEAR(Table1[[#This Row],[Order Date]])</f>
        <v>2017</v>
      </c>
      <c r="G210" t="s">
        <v>49</v>
      </c>
      <c r="H210" t="s">
        <v>831</v>
      </c>
      <c r="I210" t="s">
        <v>832</v>
      </c>
      <c r="J210" t="s">
        <v>25</v>
      </c>
      <c r="K210" t="s">
        <v>26</v>
      </c>
      <c r="L210" t="s">
        <v>833</v>
      </c>
      <c r="M210" t="s">
        <v>237</v>
      </c>
      <c r="N210">
        <v>48601</v>
      </c>
      <c r="O210" t="s">
        <v>104</v>
      </c>
      <c r="P210" t="s">
        <v>544</v>
      </c>
      <c r="Q210" t="s">
        <v>45</v>
      </c>
      <c r="R210" t="s">
        <v>74</v>
      </c>
      <c r="S210" t="s">
        <v>545</v>
      </c>
      <c r="T210">
        <v>15.92</v>
      </c>
      <c r="U210">
        <v>4</v>
      </c>
      <c r="V210">
        <v>0</v>
      </c>
      <c r="W210">
        <v>7.4824000000000002</v>
      </c>
    </row>
    <row r="211" spans="1:23" x14ac:dyDescent="0.35">
      <c r="A211" s="1">
        <v>210</v>
      </c>
      <c r="B211" t="s">
        <v>830</v>
      </c>
      <c r="C211" s="2">
        <v>43070</v>
      </c>
      <c r="D211" s="2">
        <v>43076</v>
      </c>
      <c r="E211" s="2" t="str">
        <f t="shared" si="3"/>
        <v>Dec</v>
      </c>
      <c r="F211" s="5">
        <f>YEAR(Table1[[#This Row],[Order Date]])</f>
        <v>2017</v>
      </c>
      <c r="G211" t="s">
        <v>49</v>
      </c>
      <c r="H211" t="s">
        <v>831</v>
      </c>
      <c r="I211" t="s">
        <v>832</v>
      </c>
      <c r="J211" t="s">
        <v>25</v>
      </c>
      <c r="K211" t="s">
        <v>26</v>
      </c>
      <c r="L211" t="s">
        <v>833</v>
      </c>
      <c r="M211" t="s">
        <v>237</v>
      </c>
      <c r="N211">
        <v>48601</v>
      </c>
      <c r="O211" t="s">
        <v>104</v>
      </c>
      <c r="P211" t="s">
        <v>838</v>
      </c>
      <c r="Q211" t="s">
        <v>45</v>
      </c>
      <c r="R211" t="s">
        <v>268</v>
      </c>
      <c r="S211" t="s">
        <v>839</v>
      </c>
      <c r="T211">
        <v>52.29</v>
      </c>
      <c r="U211">
        <v>9</v>
      </c>
      <c r="V211">
        <v>0</v>
      </c>
      <c r="W211">
        <v>16.209900000000001</v>
      </c>
    </row>
    <row r="212" spans="1:23" x14ac:dyDescent="0.35">
      <c r="A212" s="1">
        <v>211</v>
      </c>
      <c r="B212" t="s">
        <v>830</v>
      </c>
      <c r="C212" s="2">
        <v>43070</v>
      </c>
      <c r="D212" s="2">
        <v>43076</v>
      </c>
      <c r="E212" s="2" t="str">
        <f t="shared" si="3"/>
        <v>Dec</v>
      </c>
      <c r="F212" s="5">
        <f>YEAR(Table1[[#This Row],[Order Date]])</f>
        <v>2017</v>
      </c>
      <c r="G212" t="s">
        <v>49</v>
      </c>
      <c r="H212" t="s">
        <v>831</v>
      </c>
      <c r="I212" t="s">
        <v>832</v>
      </c>
      <c r="J212" t="s">
        <v>25</v>
      </c>
      <c r="K212" t="s">
        <v>26</v>
      </c>
      <c r="L212" t="s">
        <v>833</v>
      </c>
      <c r="M212" t="s">
        <v>237</v>
      </c>
      <c r="N212">
        <v>48601</v>
      </c>
      <c r="O212" t="s">
        <v>104</v>
      </c>
      <c r="P212" t="s">
        <v>840</v>
      </c>
      <c r="Q212" t="s">
        <v>45</v>
      </c>
      <c r="R212" t="s">
        <v>58</v>
      </c>
      <c r="S212" t="s">
        <v>841</v>
      </c>
      <c r="T212">
        <v>91.99</v>
      </c>
      <c r="U212">
        <v>1</v>
      </c>
      <c r="V212">
        <v>0</v>
      </c>
      <c r="W212">
        <v>3.6796000000000002</v>
      </c>
    </row>
    <row r="213" spans="1:23" x14ac:dyDescent="0.35">
      <c r="A213" s="1">
        <v>212</v>
      </c>
      <c r="B213" t="s">
        <v>842</v>
      </c>
      <c r="C213" s="2">
        <v>42044</v>
      </c>
      <c r="D213" s="2">
        <v>42048</v>
      </c>
      <c r="E213" s="2" t="str">
        <f t="shared" si="3"/>
        <v>Feb</v>
      </c>
      <c r="F213" s="5">
        <f>YEAR(Table1[[#This Row],[Order Date]])</f>
        <v>2015</v>
      </c>
      <c r="G213" t="s">
        <v>22</v>
      </c>
      <c r="H213" t="s">
        <v>843</v>
      </c>
      <c r="I213" t="s">
        <v>844</v>
      </c>
      <c r="J213" t="s">
        <v>40</v>
      </c>
      <c r="K213" t="s">
        <v>26</v>
      </c>
      <c r="L213" t="s">
        <v>816</v>
      </c>
      <c r="M213" t="s">
        <v>103</v>
      </c>
      <c r="N213">
        <v>75220</v>
      </c>
      <c r="O213" t="s">
        <v>104</v>
      </c>
      <c r="P213" t="s">
        <v>845</v>
      </c>
      <c r="Q213" t="s">
        <v>70</v>
      </c>
      <c r="R213" t="s">
        <v>160</v>
      </c>
      <c r="S213" t="s">
        <v>846</v>
      </c>
      <c r="T213">
        <v>20.8</v>
      </c>
      <c r="U213">
        <v>2</v>
      </c>
      <c r="V213">
        <v>0.2</v>
      </c>
      <c r="W213">
        <v>6.5</v>
      </c>
    </row>
    <row r="214" spans="1:23" x14ac:dyDescent="0.35">
      <c r="A214" s="1">
        <v>213</v>
      </c>
      <c r="B214" t="s">
        <v>847</v>
      </c>
      <c r="C214" s="2">
        <v>42006</v>
      </c>
      <c r="D214" s="2">
        <v>42013</v>
      </c>
      <c r="E214" s="2" t="str">
        <f t="shared" si="3"/>
        <v>Jan</v>
      </c>
      <c r="F214" s="5">
        <f>YEAR(Table1[[#This Row],[Order Date]])</f>
        <v>2015</v>
      </c>
      <c r="G214" t="s">
        <v>49</v>
      </c>
      <c r="H214" t="s">
        <v>848</v>
      </c>
      <c r="I214" t="s">
        <v>849</v>
      </c>
      <c r="J214" t="s">
        <v>40</v>
      </c>
      <c r="K214" t="s">
        <v>26</v>
      </c>
      <c r="L214" t="s">
        <v>850</v>
      </c>
      <c r="M214" t="s">
        <v>497</v>
      </c>
      <c r="N214">
        <v>44256</v>
      </c>
      <c r="O214" t="s">
        <v>147</v>
      </c>
      <c r="P214" t="s">
        <v>851</v>
      </c>
      <c r="Q214" t="s">
        <v>45</v>
      </c>
      <c r="R214" t="s">
        <v>46</v>
      </c>
      <c r="S214" t="s">
        <v>852</v>
      </c>
      <c r="T214">
        <v>23.68</v>
      </c>
      <c r="U214">
        <v>2</v>
      </c>
      <c r="V214">
        <v>0.2</v>
      </c>
      <c r="W214">
        <v>8.8800000000000008</v>
      </c>
    </row>
    <row r="215" spans="1:23" x14ac:dyDescent="0.35">
      <c r="A215" s="1">
        <v>214</v>
      </c>
      <c r="B215" t="s">
        <v>847</v>
      </c>
      <c r="C215" s="2">
        <v>42006</v>
      </c>
      <c r="D215" s="2">
        <v>42013</v>
      </c>
      <c r="E215" s="2" t="str">
        <f t="shared" si="3"/>
        <v>Jan</v>
      </c>
      <c r="F215" s="5">
        <f>YEAR(Table1[[#This Row],[Order Date]])</f>
        <v>2015</v>
      </c>
      <c r="G215" t="s">
        <v>49</v>
      </c>
      <c r="H215" t="s">
        <v>848</v>
      </c>
      <c r="I215" t="s">
        <v>849</v>
      </c>
      <c r="J215" t="s">
        <v>40</v>
      </c>
      <c r="K215" t="s">
        <v>26</v>
      </c>
      <c r="L215" t="s">
        <v>850</v>
      </c>
      <c r="M215" t="s">
        <v>497</v>
      </c>
      <c r="N215">
        <v>44256</v>
      </c>
      <c r="O215" t="s">
        <v>147</v>
      </c>
      <c r="P215" t="s">
        <v>853</v>
      </c>
      <c r="Q215" t="s">
        <v>31</v>
      </c>
      <c r="R215" t="s">
        <v>32</v>
      </c>
      <c r="S215" t="s">
        <v>854</v>
      </c>
      <c r="T215">
        <v>452.45</v>
      </c>
      <c r="U215">
        <v>5</v>
      </c>
      <c r="V215">
        <v>0.5</v>
      </c>
      <c r="W215">
        <v>-244.32300000000001</v>
      </c>
    </row>
    <row r="216" spans="1:23" x14ac:dyDescent="0.35">
      <c r="A216" s="1">
        <v>215</v>
      </c>
      <c r="B216" t="s">
        <v>847</v>
      </c>
      <c r="C216" s="2">
        <v>42006</v>
      </c>
      <c r="D216" s="2">
        <v>42013</v>
      </c>
      <c r="E216" s="2" t="str">
        <f t="shared" si="3"/>
        <v>Jan</v>
      </c>
      <c r="F216" s="5">
        <f>YEAR(Table1[[#This Row],[Order Date]])</f>
        <v>2015</v>
      </c>
      <c r="G216" t="s">
        <v>49</v>
      </c>
      <c r="H216" t="s">
        <v>848</v>
      </c>
      <c r="I216" t="s">
        <v>849</v>
      </c>
      <c r="J216" t="s">
        <v>40</v>
      </c>
      <c r="K216" t="s">
        <v>26</v>
      </c>
      <c r="L216" t="s">
        <v>850</v>
      </c>
      <c r="M216" t="s">
        <v>497</v>
      </c>
      <c r="N216">
        <v>44256</v>
      </c>
      <c r="O216" t="s">
        <v>147</v>
      </c>
      <c r="P216" t="s">
        <v>469</v>
      </c>
      <c r="Q216" t="s">
        <v>70</v>
      </c>
      <c r="R216" t="s">
        <v>71</v>
      </c>
      <c r="S216" t="s">
        <v>470</v>
      </c>
      <c r="T216">
        <v>62.981999999999999</v>
      </c>
      <c r="U216">
        <v>3</v>
      </c>
      <c r="V216">
        <v>0.4</v>
      </c>
      <c r="W216">
        <v>-14.6958</v>
      </c>
    </row>
    <row r="217" spans="1:23" x14ac:dyDescent="0.35">
      <c r="A217" s="1">
        <v>216</v>
      </c>
      <c r="B217" t="s">
        <v>847</v>
      </c>
      <c r="C217" s="2">
        <v>42006</v>
      </c>
      <c r="D217" s="2">
        <v>42013</v>
      </c>
      <c r="E217" s="2" t="str">
        <f t="shared" si="3"/>
        <v>Jan</v>
      </c>
      <c r="F217" s="5">
        <f>YEAR(Table1[[#This Row],[Order Date]])</f>
        <v>2015</v>
      </c>
      <c r="G217" t="s">
        <v>49</v>
      </c>
      <c r="H217" t="s">
        <v>848</v>
      </c>
      <c r="I217" t="s">
        <v>849</v>
      </c>
      <c r="J217" t="s">
        <v>40</v>
      </c>
      <c r="K217" t="s">
        <v>26</v>
      </c>
      <c r="L217" t="s">
        <v>850</v>
      </c>
      <c r="M217" t="s">
        <v>497</v>
      </c>
      <c r="N217">
        <v>44256</v>
      </c>
      <c r="O217" t="s">
        <v>147</v>
      </c>
      <c r="P217" t="s">
        <v>855</v>
      </c>
      <c r="Q217" t="s">
        <v>70</v>
      </c>
      <c r="R217" t="s">
        <v>683</v>
      </c>
      <c r="S217" t="s">
        <v>856</v>
      </c>
      <c r="T217">
        <v>1188</v>
      </c>
      <c r="U217">
        <v>9</v>
      </c>
      <c r="V217">
        <v>0.7</v>
      </c>
      <c r="W217">
        <v>-950.4</v>
      </c>
    </row>
    <row r="218" spans="1:23" x14ac:dyDescent="0.35">
      <c r="A218" s="1">
        <v>217</v>
      </c>
      <c r="B218" t="s">
        <v>847</v>
      </c>
      <c r="C218" s="2">
        <v>42006</v>
      </c>
      <c r="D218" s="2">
        <v>42013</v>
      </c>
      <c r="E218" s="2" t="str">
        <f t="shared" si="3"/>
        <v>Jan</v>
      </c>
      <c r="F218" s="5">
        <f>YEAR(Table1[[#This Row],[Order Date]])</f>
        <v>2015</v>
      </c>
      <c r="G218" t="s">
        <v>49</v>
      </c>
      <c r="H218" t="s">
        <v>848</v>
      </c>
      <c r="I218" t="s">
        <v>849</v>
      </c>
      <c r="J218" t="s">
        <v>40</v>
      </c>
      <c r="K218" t="s">
        <v>26</v>
      </c>
      <c r="L218" t="s">
        <v>850</v>
      </c>
      <c r="M218" t="s">
        <v>497</v>
      </c>
      <c r="N218">
        <v>44256</v>
      </c>
      <c r="O218" t="s">
        <v>147</v>
      </c>
      <c r="P218" t="s">
        <v>857</v>
      </c>
      <c r="Q218" t="s">
        <v>70</v>
      </c>
      <c r="R218" t="s">
        <v>160</v>
      </c>
      <c r="S218" t="s">
        <v>858</v>
      </c>
      <c r="T218">
        <v>89.584000000000003</v>
      </c>
      <c r="U218">
        <v>2</v>
      </c>
      <c r="V218">
        <v>0.2</v>
      </c>
      <c r="W218">
        <v>4.4791999999999996</v>
      </c>
    </row>
    <row r="219" spans="1:23" x14ac:dyDescent="0.35">
      <c r="A219" s="1">
        <v>218</v>
      </c>
      <c r="B219" t="s">
        <v>859</v>
      </c>
      <c r="C219" s="2">
        <v>42671</v>
      </c>
      <c r="D219" s="2">
        <v>42675</v>
      </c>
      <c r="E219" s="2" t="str">
        <f t="shared" si="3"/>
        <v>Oct</v>
      </c>
      <c r="F219" s="5">
        <f>YEAR(Table1[[#This Row],[Order Date]])</f>
        <v>2016</v>
      </c>
      <c r="G219" t="s">
        <v>49</v>
      </c>
      <c r="H219" t="s">
        <v>860</v>
      </c>
      <c r="I219" t="s">
        <v>861</v>
      </c>
      <c r="J219" t="s">
        <v>25</v>
      </c>
      <c r="K219" t="s">
        <v>26</v>
      </c>
      <c r="L219" t="s">
        <v>41</v>
      </c>
      <c r="M219" t="s">
        <v>42</v>
      </c>
      <c r="N219">
        <v>90032</v>
      </c>
      <c r="O219" t="s">
        <v>43</v>
      </c>
      <c r="P219" t="s">
        <v>760</v>
      </c>
      <c r="Q219" t="s">
        <v>45</v>
      </c>
      <c r="R219" t="s">
        <v>58</v>
      </c>
      <c r="S219" t="s">
        <v>761</v>
      </c>
      <c r="T219">
        <v>93.06</v>
      </c>
      <c r="U219">
        <v>6</v>
      </c>
      <c r="V219">
        <v>0</v>
      </c>
      <c r="W219">
        <v>26.056799999999999</v>
      </c>
    </row>
    <row r="220" spans="1:23" x14ac:dyDescent="0.35">
      <c r="A220" s="1">
        <v>219</v>
      </c>
      <c r="B220" t="s">
        <v>859</v>
      </c>
      <c r="C220" s="2">
        <v>42671</v>
      </c>
      <c r="D220" s="2">
        <v>42675</v>
      </c>
      <c r="E220" s="2" t="str">
        <f t="shared" si="3"/>
        <v>Oct</v>
      </c>
      <c r="F220" s="5">
        <f>YEAR(Table1[[#This Row],[Order Date]])</f>
        <v>2016</v>
      </c>
      <c r="G220" t="s">
        <v>49</v>
      </c>
      <c r="H220" t="s">
        <v>860</v>
      </c>
      <c r="I220" t="s">
        <v>861</v>
      </c>
      <c r="J220" t="s">
        <v>25</v>
      </c>
      <c r="K220" t="s">
        <v>26</v>
      </c>
      <c r="L220" t="s">
        <v>41</v>
      </c>
      <c r="M220" t="s">
        <v>42</v>
      </c>
      <c r="N220">
        <v>90032</v>
      </c>
      <c r="O220" t="s">
        <v>43</v>
      </c>
      <c r="P220" t="s">
        <v>862</v>
      </c>
      <c r="Q220" t="s">
        <v>70</v>
      </c>
      <c r="R220" t="s">
        <v>71</v>
      </c>
      <c r="S220" t="s">
        <v>863</v>
      </c>
      <c r="T220">
        <v>302.37599999999998</v>
      </c>
      <c r="U220">
        <v>3</v>
      </c>
      <c r="V220">
        <v>0.2</v>
      </c>
      <c r="W220">
        <v>22.6782</v>
      </c>
    </row>
    <row r="221" spans="1:23" x14ac:dyDescent="0.35">
      <c r="A221" s="1">
        <v>220</v>
      </c>
      <c r="B221" t="s">
        <v>864</v>
      </c>
      <c r="C221" s="2">
        <v>42362</v>
      </c>
      <c r="D221" s="2">
        <v>42365</v>
      </c>
      <c r="E221" s="2" t="str">
        <f t="shared" si="3"/>
        <v>Dec</v>
      </c>
      <c r="F221" s="5">
        <f>YEAR(Table1[[#This Row],[Order Date]])</f>
        <v>2015</v>
      </c>
      <c r="G221" t="s">
        <v>187</v>
      </c>
      <c r="H221" t="s">
        <v>865</v>
      </c>
      <c r="I221" t="s">
        <v>866</v>
      </c>
      <c r="J221" t="s">
        <v>25</v>
      </c>
      <c r="K221" t="s">
        <v>26</v>
      </c>
      <c r="L221" t="s">
        <v>867</v>
      </c>
      <c r="M221" t="s">
        <v>497</v>
      </c>
      <c r="N221">
        <v>43017</v>
      </c>
      <c r="O221" t="s">
        <v>147</v>
      </c>
      <c r="P221" t="s">
        <v>868</v>
      </c>
      <c r="Q221" t="s">
        <v>45</v>
      </c>
      <c r="R221" t="s">
        <v>268</v>
      </c>
      <c r="S221" t="s">
        <v>869</v>
      </c>
      <c r="T221">
        <v>5.5839999999999996</v>
      </c>
      <c r="U221">
        <v>2</v>
      </c>
      <c r="V221">
        <v>0.2</v>
      </c>
      <c r="W221">
        <v>1.8148</v>
      </c>
    </row>
    <row r="222" spans="1:23" x14ac:dyDescent="0.35">
      <c r="A222" s="1">
        <v>221</v>
      </c>
      <c r="B222" t="s">
        <v>864</v>
      </c>
      <c r="C222" s="2">
        <v>42362</v>
      </c>
      <c r="D222" s="2">
        <v>42365</v>
      </c>
      <c r="E222" s="2" t="str">
        <f t="shared" si="3"/>
        <v>Dec</v>
      </c>
      <c r="F222" s="5">
        <f>YEAR(Table1[[#This Row],[Order Date]])</f>
        <v>2015</v>
      </c>
      <c r="G222" t="s">
        <v>187</v>
      </c>
      <c r="H222" t="s">
        <v>865</v>
      </c>
      <c r="I222" t="s">
        <v>866</v>
      </c>
      <c r="J222" t="s">
        <v>25</v>
      </c>
      <c r="K222" t="s">
        <v>26</v>
      </c>
      <c r="L222" t="s">
        <v>867</v>
      </c>
      <c r="M222" t="s">
        <v>497</v>
      </c>
      <c r="N222">
        <v>43017</v>
      </c>
      <c r="O222" t="s">
        <v>147</v>
      </c>
      <c r="P222" t="s">
        <v>870</v>
      </c>
      <c r="Q222" t="s">
        <v>45</v>
      </c>
      <c r="R222" t="s">
        <v>89</v>
      </c>
      <c r="S222" t="s">
        <v>871</v>
      </c>
      <c r="T222">
        <v>22.704000000000001</v>
      </c>
      <c r="U222">
        <v>6</v>
      </c>
      <c r="V222">
        <v>0.2</v>
      </c>
      <c r="W222">
        <v>8.2302</v>
      </c>
    </row>
    <row r="223" spans="1:23" x14ac:dyDescent="0.35">
      <c r="A223" s="1">
        <v>222</v>
      </c>
      <c r="B223" t="s">
        <v>864</v>
      </c>
      <c r="C223" s="2">
        <v>42362</v>
      </c>
      <c r="D223" s="2">
        <v>42365</v>
      </c>
      <c r="E223" s="2" t="str">
        <f t="shared" si="3"/>
        <v>Dec</v>
      </c>
      <c r="F223" s="5">
        <f>YEAR(Table1[[#This Row],[Order Date]])</f>
        <v>2015</v>
      </c>
      <c r="G223" t="s">
        <v>187</v>
      </c>
      <c r="H223" t="s">
        <v>865</v>
      </c>
      <c r="I223" t="s">
        <v>866</v>
      </c>
      <c r="J223" t="s">
        <v>25</v>
      </c>
      <c r="K223" t="s">
        <v>26</v>
      </c>
      <c r="L223" t="s">
        <v>867</v>
      </c>
      <c r="M223" t="s">
        <v>497</v>
      </c>
      <c r="N223">
        <v>43017</v>
      </c>
      <c r="O223" t="s">
        <v>147</v>
      </c>
      <c r="P223" t="s">
        <v>413</v>
      </c>
      <c r="Q223" t="s">
        <v>45</v>
      </c>
      <c r="R223" t="s">
        <v>74</v>
      </c>
      <c r="S223" t="s">
        <v>414</v>
      </c>
      <c r="T223">
        <v>19.776</v>
      </c>
      <c r="U223">
        <v>4</v>
      </c>
      <c r="V223">
        <v>0.7</v>
      </c>
      <c r="W223">
        <v>-13.8432</v>
      </c>
    </row>
    <row r="224" spans="1:23" x14ac:dyDescent="0.35">
      <c r="A224" s="1">
        <v>223</v>
      </c>
      <c r="B224" t="s">
        <v>864</v>
      </c>
      <c r="C224" s="2">
        <v>42362</v>
      </c>
      <c r="D224" s="2">
        <v>42365</v>
      </c>
      <c r="E224" s="2" t="str">
        <f t="shared" si="3"/>
        <v>Dec</v>
      </c>
      <c r="F224" s="5">
        <f>YEAR(Table1[[#This Row],[Order Date]])</f>
        <v>2015</v>
      </c>
      <c r="G224" t="s">
        <v>187</v>
      </c>
      <c r="H224" t="s">
        <v>865</v>
      </c>
      <c r="I224" t="s">
        <v>866</v>
      </c>
      <c r="J224" t="s">
        <v>25</v>
      </c>
      <c r="K224" t="s">
        <v>26</v>
      </c>
      <c r="L224" t="s">
        <v>867</v>
      </c>
      <c r="M224" t="s">
        <v>497</v>
      </c>
      <c r="N224">
        <v>43017</v>
      </c>
      <c r="O224" t="s">
        <v>147</v>
      </c>
      <c r="P224" t="s">
        <v>872</v>
      </c>
      <c r="Q224" t="s">
        <v>31</v>
      </c>
      <c r="R224" t="s">
        <v>64</v>
      </c>
      <c r="S224" t="s">
        <v>873</v>
      </c>
      <c r="T224">
        <v>72.703999999999994</v>
      </c>
      <c r="U224">
        <v>4</v>
      </c>
      <c r="V224">
        <v>0.2</v>
      </c>
      <c r="W224">
        <v>19.084800000000001</v>
      </c>
    </row>
    <row r="225" spans="1:23" x14ac:dyDescent="0.35">
      <c r="A225" s="1">
        <v>224</v>
      </c>
      <c r="B225" t="s">
        <v>864</v>
      </c>
      <c r="C225" s="2">
        <v>42362</v>
      </c>
      <c r="D225" s="2">
        <v>42365</v>
      </c>
      <c r="E225" s="2" t="str">
        <f t="shared" si="3"/>
        <v>Dec</v>
      </c>
      <c r="F225" s="5">
        <f>YEAR(Table1[[#This Row],[Order Date]])</f>
        <v>2015</v>
      </c>
      <c r="G225" t="s">
        <v>187</v>
      </c>
      <c r="H225" t="s">
        <v>865</v>
      </c>
      <c r="I225" t="s">
        <v>866</v>
      </c>
      <c r="J225" t="s">
        <v>25</v>
      </c>
      <c r="K225" t="s">
        <v>26</v>
      </c>
      <c r="L225" t="s">
        <v>867</v>
      </c>
      <c r="M225" t="s">
        <v>497</v>
      </c>
      <c r="N225">
        <v>43017</v>
      </c>
      <c r="O225" t="s">
        <v>147</v>
      </c>
      <c r="P225" t="s">
        <v>874</v>
      </c>
      <c r="Q225" t="s">
        <v>70</v>
      </c>
      <c r="R225" t="s">
        <v>683</v>
      </c>
      <c r="S225" t="s">
        <v>875</v>
      </c>
      <c r="T225">
        <v>479.988</v>
      </c>
      <c r="U225">
        <v>4</v>
      </c>
      <c r="V225">
        <v>0.7</v>
      </c>
      <c r="W225">
        <v>-383.99040000000002</v>
      </c>
    </row>
    <row r="226" spans="1:23" x14ac:dyDescent="0.35">
      <c r="A226" s="1">
        <v>225</v>
      </c>
      <c r="B226" t="s">
        <v>864</v>
      </c>
      <c r="C226" s="2">
        <v>42362</v>
      </c>
      <c r="D226" s="2">
        <v>42365</v>
      </c>
      <c r="E226" s="2" t="str">
        <f t="shared" si="3"/>
        <v>Dec</v>
      </c>
      <c r="F226" s="5">
        <f>YEAR(Table1[[#This Row],[Order Date]])</f>
        <v>2015</v>
      </c>
      <c r="G226" t="s">
        <v>187</v>
      </c>
      <c r="H226" t="s">
        <v>865</v>
      </c>
      <c r="I226" t="s">
        <v>866</v>
      </c>
      <c r="J226" t="s">
        <v>25</v>
      </c>
      <c r="K226" t="s">
        <v>26</v>
      </c>
      <c r="L226" t="s">
        <v>867</v>
      </c>
      <c r="M226" t="s">
        <v>497</v>
      </c>
      <c r="N226">
        <v>43017</v>
      </c>
      <c r="O226" t="s">
        <v>147</v>
      </c>
      <c r="P226" t="s">
        <v>876</v>
      </c>
      <c r="Q226" t="s">
        <v>45</v>
      </c>
      <c r="R226" t="s">
        <v>67</v>
      </c>
      <c r="S226" t="s">
        <v>877</v>
      </c>
      <c r="T226">
        <v>27.167999999999999</v>
      </c>
      <c r="U226">
        <v>2</v>
      </c>
      <c r="V226">
        <v>0.2</v>
      </c>
      <c r="W226">
        <v>2.7168000000000001</v>
      </c>
    </row>
    <row r="227" spans="1:23" x14ac:dyDescent="0.35">
      <c r="A227" s="1">
        <v>226</v>
      </c>
      <c r="B227" t="s">
        <v>878</v>
      </c>
      <c r="C227" s="2">
        <v>42225</v>
      </c>
      <c r="D227" s="2">
        <v>42232</v>
      </c>
      <c r="E227" s="2" t="str">
        <f t="shared" si="3"/>
        <v>Aug</v>
      </c>
      <c r="F227" s="5">
        <f>YEAR(Table1[[#This Row],[Order Date]])</f>
        <v>2015</v>
      </c>
      <c r="G227" t="s">
        <v>49</v>
      </c>
      <c r="H227" t="s">
        <v>879</v>
      </c>
      <c r="I227" t="s">
        <v>880</v>
      </c>
      <c r="J227" t="s">
        <v>40</v>
      </c>
      <c r="K227" t="s">
        <v>26</v>
      </c>
      <c r="L227" t="s">
        <v>881</v>
      </c>
      <c r="M227" t="s">
        <v>237</v>
      </c>
      <c r="N227">
        <v>48227</v>
      </c>
      <c r="O227" t="s">
        <v>104</v>
      </c>
      <c r="P227" t="s">
        <v>882</v>
      </c>
      <c r="Q227" t="s">
        <v>45</v>
      </c>
      <c r="R227" t="s">
        <v>67</v>
      </c>
      <c r="S227" t="s">
        <v>883</v>
      </c>
      <c r="T227">
        <v>2.2000000000000002</v>
      </c>
      <c r="U227">
        <v>1</v>
      </c>
      <c r="V227">
        <v>0</v>
      </c>
      <c r="W227">
        <v>0.96799999999999997</v>
      </c>
    </row>
    <row r="228" spans="1:23" x14ac:dyDescent="0.35">
      <c r="A228" s="1">
        <v>227</v>
      </c>
      <c r="B228" t="s">
        <v>878</v>
      </c>
      <c r="C228" s="2">
        <v>42225</v>
      </c>
      <c r="D228" s="2">
        <v>42232</v>
      </c>
      <c r="E228" s="2" t="str">
        <f t="shared" si="3"/>
        <v>Aug</v>
      </c>
      <c r="F228" s="5">
        <f>YEAR(Table1[[#This Row],[Order Date]])</f>
        <v>2015</v>
      </c>
      <c r="G228" t="s">
        <v>49</v>
      </c>
      <c r="H228" t="s">
        <v>879</v>
      </c>
      <c r="I228" t="s">
        <v>880</v>
      </c>
      <c r="J228" t="s">
        <v>40</v>
      </c>
      <c r="K228" t="s">
        <v>26</v>
      </c>
      <c r="L228" t="s">
        <v>881</v>
      </c>
      <c r="M228" t="s">
        <v>237</v>
      </c>
      <c r="N228">
        <v>48227</v>
      </c>
      <c r="O228" t="s">
        <v>104</v>
      </c>
      <c r="P228" t="s">
        <v>884</v>
      </c>
      <c r="Q228" t="s">
        <v>31</v>
      </c>
      <c r="R228" t="s">
        <v>55</v>
      </c>
      <c r="S228" t="s">
        <v>885</v>
      </c>
      <c r="T228">
        <v>622.45000000000005</v>
      </c>
      <c r="U228">
        <v>5</v>
      </c>
      <c r="V228">
        <v>0</v>
      </c>
      <c r="W228">
        <v>136.93899999999999</v>
      </c>
    </row>
    <row r="229" spans="1:23" x14ac:dyDescent="0.35">
      <c r="A229" s="1">
        <v>228</v>
      </c>
      <c r="B229" t="s">
        <v>878</v>
      </c>
      <c r="C229" s="2">
        <v>42225</v>
      </c>
      <c r="D229" s="2">
        <v>42232</v>
      </c>
      <c r="E229" s="2" t="str">
        <f t="shared" si="3"/>
        <v>Aug</v>
      </c>
      <c r="F229" s="5">
        <f>YEAR(Table1[[#This Row],[Order Date]])</f>
        <v>2015</v>
      </c>
      <c r="G229" t="s">
        <v>49</v>
      </c>
      <c r="H229" t="s">
        <v>879</v>
      </c>
      <c r="I229" t="s">
        <v>880</v>
      </c>
      <c r="J229" t="s">
        <v>40</v>
      </c>
      <c r="K229" t="s">
        <v>26</v>
      </c>
      <c r="L229" t="s">
        <v>881</v>
      </c>
      <c r="M229" t="s">
        <v>237</v>
      </c>
      <c r="N229">
        <v>48227</v>
      </c>
      <c r="O229" t="s">
        <v>104</v>
      </c>
      <c r="P229" t="s">
        <v>886</v>
      </c>
      <c r="Q229" t="s">
        <v>45</v>
      </c>
      <c r="R229" t="s">
        <v>58</v>
      </c>
      <c r="S229" t="s">
        <v>887</v>
      </c>
      <c r="T229">
        <v>21.98</v>
      </c>
      <c r="U229">
        <v>1</v>
      </c>
      <c r="V229">
        <v>0</v>
      </c>
      <c r="W229">
        <v>0.2198</v>
      </c>
    </row>
    <row r="230" spans="1:23" x14ac:dyDescent="0.35">
      <c r="A230" s="1">
        <v>229</v>
      </c>
      <c r="B230" t="s">
        <v>888</v>
      </c>
      <c r="C230" s="2">
        <v>42063</v>
      </c>
      <c r="D230" s="2">
        <v>42067</v>
      </c>
      <c r="E230" s="2" t="str">
        <f t="shared" si="3"/>
        <v>Feb</v>
      </c>
      <c r="F230" s="5">
        <f>YEAR(Table1[[#This Row],[Order Date]])</f>
        <v>2015</v>
      </c>
      <c r="G230" t="s">
        <v>49</v>
      </c>
      <c r="H230" t="s">
        <v>889</v>
      </c>
      <c r="I230" t="s">
        <v>890</v>
      </c>
      <c r="J230" t="s">
        <v>25</v>
      </c>
      <c r="K230" t="s">
        <v>26</v>
      </c>
      <c r="L230" t="s">
        <v>381</v>
      </c>
      <c r="M230" t="s">
        <v>334</v>
      </c>
      <c r="N230">
        <v>38401</v>
      </c>
      <c r="O230" t="s">
        <v>29</v>
      </c>
      <c r="P230" t="s">
        <v>891</v>
      </c>
      <c r="Q230" t="s">
        <v>31</v>
      </c>
      <c r="R230" t="s">
        <v>35</v>
      </c>
      <c r="S230" t="s">
        <v>892</v>
      </c>
      <c r="T230">
        <v>161.56800000000001</v>
      </c>
      <c r="U230">
        <v>2</v>
      </c>
      <c r="V230">
        <v>0.2</v>
      </c>
      <c r="W230">
        <v>-28.2744</v>
      </c>
    </row>
    <row r="231" spans="1:23" x14ac:dyDescent="0.35">
      <c r="A231" s="1">
        <v>230</v>
      </c>
      <c r="B231" t="s">
        <v>888</v>
      </c>
      <c r="C231" s="2">
        <v>42063</v>
      </c>
      <c r="D231" s="2">
        <v>42067</v>
      </c>
      <c r="E231" s="2" t="str">
        <f t="shared" si="3"/>
        <v>Feb</v>
      </c>
      <c r="F231" s="5">
        <f>YEAR(Table1[[#This Row],[Order Date]])</f>
        <v>2015</v>
      </c>
      <c r="G231" t="s">
        <v>49</v>
      </c>
      <c r="H231" t="s">
        <v>889</v>
      </c>
      <c r="I231" t="s">
        <v>890</v>
      </c>
      <c r="J231" t="s">
        <v>25</v>
      </c>
      <c r="K231" t="s">
        <v>26</v>
      </c>
      <c r="L231" t="s">
        <v>381</v>
      </c>
      <c r="M231" t="s">
        <v>334</v>
      </c>
      <c r="N231">
        <v>38401</v>
      </c>
      <c r="O231" t="s">
        <v>29</v>
      </c>
      <c r="P231" t="s">
        <v>893</v>
      </c>
      <c r="Q231" t="s">
        <v>31</v>
      </c>
      <c r="R231" t="s">
        <v>35</v>
      </c>
      <c r="S231" t="s">
        <v>894</v>
      </c>
      <c r="T231">
        <v>389.69600000000003</v>
      </c>
      <c r="U231">
        <v>8</v>
      </c>
      <c r="V231">
        <v>0.2</v>
      </c>
      <c r="W231">
        <v>43.840800000000002</v>
      </c>
    </row>
    <row r="232" spans="1:23" x14ac:dyDescent="0.35">
      <c r="A232" s="1">
        <v>231</v>
      </c>
      <c r="B232" t="s">
        <v>895</v>
      </c>
      <c r="C232" s="2">
        <v>41895</v>
      </c>
      <c r="D232" s="2">
        <v>41899</v>
      </c>
      <c r="E232" s="2" t="str">
        <f t="shared" si="3"/>
        <v>Sep</v>
      </c>
      <c r="F232" s="5">
        <f>YEAR(Table1[[#This Row],[Order Date]])</f>
        <v>2014</v>
      </c>
      <c r="G232" t="s">
        <v>49</v>
      </c>
      <c r="H232" t="s">
        <v>896</v>
      </c>
      <c r="I232" t="s">
        <v>897</v>
      </c>
      <c r="J232" t="s">
        <v>40</v>
      </c>
      <c r="K232" t="s">
        <v>26</v>
      </c>
      <c r="L232" t="s">
        <v>466</v>
      </c>
      <c r="M232" t="s">
        <v>87</v>
      </c>
      <c r="N232">
        <v>28205</v>
      </c>
      <c r="O232" t="s">
        <v>29</v>
      </c>
      <c r="P232" t="s">
        <v>898</v>
      </c>
      <c r="Q232" t="s">
        <v>45</v>
      </c>
      <c r="R232" t="s">
        <v>74</v>
      </c>
      <c r="S232" t="s">
        <v>899</v>
      </c>
      <c r="T232">
        <v>18.648</v>
      </c>
      <c r="U232">
        <v>7</v>
      </c>
      <c r="V232">
        <v>0.7</v>
      </c>
      <c r="W232">
        <v>-12.432</v>
      </c>
    </row>
    <row r="233" spans="1:23" x14ac:dyDescent="0.35">
      <c r="A233" s="1">
        <v>232</v>
      </c>
      <c r="B233" t="s">
        <v>900</v>
      </c>
      <c r="C233" s="2">
        <v>42832</v>
      </c>
      <c r="D233" s="2">
        <v>42837</v>
      </c>
      <c r="E233" s="2" t="str">
        <f t="shared" si="3"/>
        <v>Apr</v>
      </c>
      <c r="F233" s="5">
        <f>YEAR(Table1[[#This Row],[Order Date]])</f>
        <v>2017</v>
      </c>
      <c r="G233" t="s">
        <v>49</v>
      </c>
      <c r="H233" t="s">
        <v>376</v>
      </c>
      <c r="I233" t="s">
        <v>377</v>
      </c>
      <c r="J233" t="s">
        <v>101</v>
      </c>
      <c r="K233" t="s">
        <v>26</v>
      </c>
      <c r="L233" t="s">
        <v>901</v>
      </c>
      <c r="M233" t="s">
        <v>53</v>
      </c>
      <c r="N233">
        <v>33614</v>
      </c>
      <c r="O233" t="s">
        <v>29</v>
      </c>
      <c r="P233" t="s">
        <v>902</v>
      </c>
      <c r="Q233" t="s">
        <v>31</v>
      </c>
      <c r="R233" t="s">
        <v>55</v>
      </c>
      <c r="S233" t="s">
        <v>903</v>
      </c>
      <c r="T233">
        <v>233.86</v>
      </c>
      <c r="U233">
        <v>2</v>
      </c>
      <c r="V233">
        <v>0.45</v>
      </c>
      <c r="W233">
        <v>-102.048</v>
      </c>
    </row>
    <row r="234" spans="1:23" x14ac:dyDescent="0.35">
      <c r="A234" s="1">
        <v>233</v>
      </c>
      <c r="B234" t="s">
        <v>900</v>
      </c>
      <c r="C234" s="2">
        <v>42832</v>
      </c>
      <c r="D234" s="2">
        <v>42837</v>
      </c>
      <c r="E234" s="2" t="str">
        <f t="shared" si="3"/>
        <v>Apr</v>
      </c>
      <c r="F234" s="5">
        <f>YEAR(Table1[[#This Row],[Order Date]])</f>
        <v>2017</v>
      </c>
      <c r="G234" t="s">
        <v>49</v>
      </c>
      <c r="H234" t="s">
        <v>376</v>
      </c>
      <c r="I234" t="s">
        <v>377</v>
      </c>
      <c r="J234" t="s">
        <v>101</v>
      </c>
      <c r="K234" t="s">
        <v>26</v>
      </c>
      <c r="L234" t="s">
        <v>901</v>
      </c>
      <c r="M234" t="s">
        <v>53</v>
      </c>
      <c r="N234">
        <v>33614</v>
      </c>
      <c r="O234" t="s">
        <v>29</v>
      </c>
      <c r="P234" t="s">
        <v>904</v>
      </c>
      <c r="Q234" t="s">
        <v>31</v>
      </c>
      <c r="R234" t="s">
        <v>55</v>
      </c>
      <c r="S234" t="s">
        <v>905</v>
      </c>
      <c r="T234">
        <v>620.61450000000002</v>
      </c>
      <c r="U234">
        <v>3</v>
      </c>
      <c r="V234">
        <v>0.45</v>
      </c>
      <c r="W234">
        <v>-248.2458</v>
      </c>
    </row>
    <row r="235" spans="1:23" x14ac:dyDescent="0.35">
      <c r="A235" s="1">
        <v>234</v>
      </c>
      <c r="B235" t="s">
        <v>900</v>
      </c>
      <c r="C235" s="2">
        <v>42832</v>
      </c>
      <c r="D235" s="2">
        <v>42837</v>
      </c>
      <c r="E235" s="2" t="str">
        <f t="shared" si="3"/>
        <v>Apr</v>
      </c>
      <c r="F235" s="5">
        <f>YEAR(Table1[[#This Row],[Order Date]])</f>
        <v>2017</v>
      </c>
      <c r="G235" t="s">
        <v>49</v>
      </c>
      <c r="H235" t="s">
        <v>376</v>
      </c>
      <c r="I235" t="s">
        <v>377</v>
      </c>
      <c r="J235" t="s">
        <v>101</v>
      </c>
      <c r="K235" t="s">
        <v>26</v>
      </c>
      <c r="L235" t="s">
        <v>901</v>
      </c>
      <c r="M235" t="s">
        <v>53</v>
      </c>
      <c r="N235">
        <v>33614</v>
      </c>
      <c r="O235" t="s">
        <v>29</v>
      </c>
      <c r="P235" t="s">
        <v>898</v>
      </c>
      <c r="Q235" t="s">
        <v>45</v>
      </c>
      <c r="R235" t="s">
        <v>74</v>
      </c>
      <c r="S235" t="s">
        <v>899</v>
      </c>
      <c r="T235">
        <v>5.3280000000000003</v>
      </c>
      <c r="U235">
        <v>2</v>
      </c>
      <c r="V235">
        <v>0.7</v>
      </c>
      <c r="W235">
        <v>-3.552</v>
      </c>
    </row>
    <row r="236" spans="1:23" x14ac:dyDescent="0.35">
      <c r="A236" s="1">
        <v>235</v>
      </c>
      <c r="B236" t="s">
        <v>900</v>
      </c>
      <c r="C236" s="2">
        <v>42832</v>
      </c>
      <c r="D236" s="2">
        <v>42837</v>
      </c>
      <c r="E236" s="2" t="str">
        <f t="shared" si="3"/>
        <v>Apr</v>
      </c>
      <c r="F236" s="5">
        <f>YEAR(Table1[[#This Row],[Order Date]])</f>
        <v>2017</v>
      </c>
      <c r="G236" t="s">
        <v>49</v>
      </c>
      <c r="H236" t="s">
        <v>376</v>
      </c>
      <c r="I236" t="s">
        <v>377</v>
      </c>
      <c r="J236" t="s">
        <v>101</v>
      </c>
      <c r="K236" t="s">
        <v>26</v>
      </c>
      <c r="L236" t="s">
        <v>901</v>
      </c>
      <c r="M236" t="s">
        <v>53</v>
      </c>
      <c r="N236">
        <v>33614</v>
      </c>
      <c r="O236" t="s">
        <v>29</v>
      </c>
      <c r="P236" t="s">
        <v>906</v>
      </c>
      <c r="Q236" t="s">
        <v>31</v>
      </c>
      <c r="R236" t="s">
        <v>64</v>
      </c>
      <c r="S236" t="s">
        <v>907</v>
      </c>
      <c r="T236">
        <v>258.072</v>
      </c>
      <c r="U236">
        <v>3</v>
      </c>
      <c r="V236">
        <v>0.2</v>
      </c>
      <c r="W236">
        <v>0</v>
      </c>
    </row>
    <row r="237" spans="1:23" x14ac:dyDescent="0.35">
      <c r="A237" s="1">
        <v>236</v>
      </c>
      <c r="B237" t="s">
        <v>900</v>
      </c>
      <c r="C237" s="2">
        <v>42832</v>
      </c>
      <c r="D237" s="2">
        <v>42837</v>
      </c>
      <c r="E237" s="2" t="str">
        <f t="shared" si="3"/>
        <v>Apr</v>
      </c>
      <c r="F237" s="5">
        <f>YEAR(Table1[[#This Row],[Order Date]])</f>
        <v>2017</v>
      </c>
      <c r="G237" t="s">
        <v>49</v>
      </c>
      <c r="H237" t="s">
        <v>376</v>
      </c>
      <c r="I237" t="s">
        <v>377</v>
      </c>
      <c r="J237" t="s">
        <v>101</v>
      </c>
      <c r="K237" t="s">
        <v>26</v>
      </c>
      <c r="L237" t="s">
        <v>901</v>
      </c>
      <c r="M237" t="s">
        <v>53</v>
      </c>
      <c r="N237">
        <v>33614</v>
      </c>
      <c r="O237" t="s">
        <v>29</v>
      </c>
      <c r="P237" t="s">
        <v>908</v>
      </c>
      <c r="Q237" t="s">
        <v>70</v>
      </c>
      <c r="R237" t="s">
        <v>160</v>
      </c>
      <c r="S237" t="s">
        <v>909</v>
      </c>
      <c r="T237">
        <v>617.976</v>
      </c>
      <c r="U237">
        <v>3</v>
      </c>
      <c r="V237">
        <v>0.2</v>
      </c>
      <c r="W237">
        <v>-7.7247000000000003</v>
      </c>
    </row>
    <row r="238" spans="1:23" x14ac:dyDescent="0.35">
      <c r="A238" s="1">
        <v>237</v>
      </c>
      <c r="B238" t="s">
        <v>910</v>
      </c>
      <c r="C238" s="2">
        <v>43051</v>
      </c>
      <c r="D238" s="2">
        <v>43055</v>
      </c>
      <c r="E238" s="2" t="str">
        <f t="shared" si="3"/>
        <v>Nov</v>
      </c>
      <c r="F238" s="5">
        <f>YEAR(Table1[[#This Row],[Order Date]])</f>
        <v>2017</v>
      </c>
      <c r="G238" t="s">
        <v>49</v>
      </c>
      <c r="H238" t="s">
        <v>911</v>
      </c>
      <c r="I238" t="s">
        <v>912</v>
      </c>
      <c r="J238" t="s">
        <v>40</v>
      </c>
      <c r="K238" t="s">
        <v>26</v>
      </c>
      <c r="L238" t="s">
        <v>913</v>
      </c>
      <c r="M238" t="s">
        <v>42</v>
      </c>
      <c r="N238">
        <v>95051</v>
      </c>
      <c r="O238" t="s">
        <v>43</v>
      </c>
      <c r="P238" t="s">
        <v>914</v>
      </c>
      <c r="Q238" t="s">
        <v>45</v>
      </c>
      <c r="R238" t="s">
        <v>89</v>
      </c>
      <c r="S238" t="s">
        <v>915</v>
      </c>
      <c r="T238">
        <v>10.56</v>
      </c>
      <c r="U238">
        <v>2</v>
      </c>
      <c r="V238">
        <v>0</v>
      </c>
      <c r="W238">
        <v>4.7519999999999998</v>
      </c>
    </row>
    <row r="239" spans="1:23" x14ac:dyDescent="0.35">
      <c r="A239" s="1">
        <v>238</v>
      </c>
      <c r="B239" t="s">
        <v>916</v>
      </c>
      <c r="C239" s="2">
        <v>42525</v>
      </c>
      <c r="D239" s="2">
        <v>42530</v>
      </c>
      <c r="E239" s="2" t="str">
        <f t="shared" si="3"/>
        <v>Jun</v>
      </c>
      <c r="F239" s="5">
        <f>YEAR(Table1[[#This Row],[Order Date]])</f>
        <v>2016</v>
      </c>
      <c r="G239" t="s">
        <v>22</v>
      </c>
      <c r="H239" t="s">
        <v>917</v>
      </c>
      <c r="I239" t="s">
        <v>918</v>
      </c>
      <c r="J239" t="s">
        <v>25</v>
      </c>
      <c r="K239" t="s">
        <v>26</v>
      </c>
      <c r="L239" t="s">
        <v>302</v>
      </c>
      <c r="M239" t="s">
        <v>210</v>
      </c>
      <c r="N239">
        <v>60610</v>
      </c>
      <c r="O239" t="s">
        <v>104</v>
      </c>
      <c r="P239" t="s">
        <v>919</v>
      </c>
      <c r="Q239" t="s">
        <v>45</v>
      </c>
      <c r="R239" t="s">
        <v>89</v>
      </c>
      <c r="S239" t="s">
        <v>920</v>
      </c>
      <c r="T239">
        <v>25.92</v>
      </c>
      <c r="U239">
        <v>5</v>
      </c>
      <c r="V239">
        <v>0.2</v>
      </c>
      <c r="W239">
        <v>9.3960000000000008</v>
      </c>
    </row>
    <row r="240" spans="1:23" x14ac:dyDescent="0.35">
      <c r="A240" s="1">
        <v>239</v>
      </c>
      <c r="B240" t="s">
        <v>916</v>
      </c>
      <c r="C240" s="2">
        <v>42525</v>
      </c>
      <c r="D240" s="2">
        <v>42530</v>
      </c>
      <c r="E240" s="2" t="str">
        <f t="shared" si="3"/>
        <v>Jun</v>
      </c>
      <c r="F240" s="5">
        <f>YEAR(Table1[[#This Row],[Order Date]])</f>
        <v>2016</v>
      </c>
      <c r="G240" t="s">
        <v>22</v>
      </c>
      <c r="H240" t="s">
        <v>917</v>
      </c>
      <c r="I240" t="s">
        <v>918</v>
      </c>
      <c r="J240" t="s">
        <v>25</v>
      </c>
      <c r="K240" t="s">
        <v>26</v>
      </c>
      <c r="L240" t="s">
        <v>302</v>
      </c>
      <c r="M240" t="s">
        <v>210</v>
      </c>
      <c r="N240">
        <v>60610</v>
      </c>
      <c r="O240" t="s">
        <v>104</v>
      </c>
      <c r="P240" t="s">
        <v>921</v>
      </c>
      <c r="Q240" t="s">
        <v>31</v>
      </c>
      <c r="R240" t="s">
        <v>64</v>
      </c>
      <c r="S240" t="s">
        <v>922</v>
      </c>
      <c r="T240">
        <v>419.68</v>
      </c>
      <c r="U240">
        <v>5</v>
      </c>
      <c r="V240">
        <v>0.6</v>
      </c>
      <c r="W240">
        <v>-356.72800000000001</v>
      </c>
    </row>
    <row r="241" spans="1:23" x14ac:dyDescent="0.35">
      <c r="A241" s="1">
        <v>240</v>
      </c>
      <c r="B241" t="s">
        <v>916</v>
      </c>
      <c r="C241" s="2">
        <v>42525</v>
      </c>
      <c r="D241" s="2">
        <v>42530</v>
      </c>
      <c r="E241" s="2" t="str">
        <f t="shared" si="3"/>
        <v>Jun</v>
      </c>
      <c r="F241" s="5">
        <f>YEAR(Table1[[#This Row],[Order Date]])</f>
        <v>2016</v>
      </c>
      <c r="G241" t="s">
        <v>22</v>
      </c>
      <c r="H241" t="s">
        <v>917</v>
      </c>
      <c r="I241" t="s">
        <v>918</v>
      </c>
      <c r="J241" t="s">
        <v>25</v>
      </c>
      <c r="K241" t="s">
        <v>26</v>
      </c>
      <c r="L241" t="s">
        <v>302</v>
      </c>
      <c r="M241" t="s">
        <v>210</v>
      </c>
      <c r="N241">
        <v>60610</v>
      </c>
      <c r="O241" t="s">
        <v>104</v>
      </c>
      <c r="P241" t="s">
        <v>923</v>
      </c>
      <c r="Q241" t="s">
        <v>31</v>
      </c>
      <c r="R241" t="s">
        <v>64</v>
      </c>
      <c r="S241" t="s">
        <v>924</v>
      </c>
      <c r="T241">
        <v>11.688000000000001</v>
      </c>
      <c r="U241">
        <v>3</v>
      </c>
      <c r="V241">
        <v>0.6</v>
      </c>
      <c r="W241">
        <v>-4.6752000000000002</v>
      </c>
    </row>
    <row r="242" spans="1:23" x14ac:dyDescent="0.35">
      <c r="A242" s="1">
        <v>241</v>
      </c>
      <c r="B242" t="s">
        <v>916</v>
      </c>
      <c r="C242" s="2">
        <v>42525</v>
      </c>
      <c r="D242" s="2">
        <v>42530</v>
      </c>
      <c r="E242" s="2" t="str">
        <f t="shared" si="3"/>
        <v>Jun</v>
      </c>
      <c r="F242" s="5">
        <f>YEAR(Table1[[#This Row],[Order Date]])</f>
        <v>2016</v>
      </c>
      <c r="G242" t="s">
        <v>22</v>
      </c>
      <c r="H242" t="s">
        <v>917</v>
      </c>
      <c r="I242" t="s">
        <v>918</v>
      </c>
      <c r="J242" t="s">
        <v>25</v>
      </c>
      <c r="K242" t="s">
        <v>26</v>
      </c>
      <c r="L242" t="s">
        <v>302</v>
      </c>
      <c r="M242" t="s">
        <v>210</v>
      </c>
      <c r="N242">
        <v>60610</v>
      </c>
      <c r="O242" t="s">
        <v>104</v>
      </c>
      <c r="P242" t="s">
        <v>925</v>
      </c>
      <c r="Q242" t="s">
        <v>70</v>
      </c>
      <c r="R242" t="s">
        <v>71</v>
      </c>
      <c r="S242" t="s">
        <v>926</v>
      </c>
      <c r="T242">
        <v>31.984000000000002</v>
      </c>
      <c r="U242">
        <v>2</v>
      </c>
      <c r="V242">
        <v>0.2</v>
      </c>
      <c r="W242">
        <v>11.1944</v>
      </c>
    </row>
    <row r="243" spans="1:23" x14ac:dyDescent="0.35">
      <c r="A243" s="1">
        <v>242</v>
      </c>
      <c r="B243" t="s">
        <v>916</v>
      </c>
      <c r="C243" s="2">
        <v>42525</v>
      </c>
      <c r="D243" s="2">
        <v>42530</v>
      </c>
      <c r="E243" s="2" t="str">
        <f t="shared" si="3"/>
        <v>Jun</v>
      </c>
      <c r="F243" s="5">
        <f>YEAR(Table1[[#This Row],[Order Date]])</f>
        <v>2016</v>
      </c>
      <c r="G243" t="s">
        <v>22</v>
      </c>
      <c r="H243" t="s">
        <v>917</v>
      </c>
      <c r="I243" t="s">
        <v>918</v>
      </c>
      <c r="J243" t="s">
        <v>25</v>
      </c>
      <c r="K243" t="s">
        <v>26</v>
      </c>
      <c r="L243" t="s">
        <v>302</v>
      </c>
      <c r="M243" t="s">
        <v>210</v>
      </c>
      <c r="N243">
        <v>60610</v>
      </c>
      <c r="O243" t="s">
        <v>104</v>
      </c>
      <c r="P243" t="s">
        <v>927</v>
      </c>
      <c r="Q243" t="s">
        <v>31</v>
      </c>
      <c r="R243" t="s">
        <v>55</v>
      </c>
      <c r="S243" t="s">
        <v>928</v>
      </c>
      <c r="T243">
        <v>177.22499999999999</v>
      </c>
      <c r="U243">
        <v>5</v>
      </c>
      <c r="V243">
        <v>0.5</v>
      </c>
      <c r="W243">
        <v>-120.51300000000001</v>
      </c>
    </row>
    <row r="244" spans="1:23" x14ac:dyDescent="0.35">
      <c r="A244" s="1">
        <v>243</v>
      </c>
      <c r="B244" t="s">
        <v>916</v>
      </c>
      <c r="C244" s="2">
        <v>42525</v>
      </c>
      <c r="D244" s="2">
        <v>42530</v>
      </c>
      <c r="E244" s="2" t="str">
        <f t="shared" si="3"/>
        <v>Jun</v>
      </c>
      <c r="F244" s="5">
        <f>YEAR(Table1[[#This Row],[Order Date]])</f>
        <v>2016</v>
      </c>
      <c r="G244" t="s">
        <v>22</v>
      </c>
      <c r="H244" t="s">
        <v>917</v>
      </c>
      <c r="I244" t="s">
        <v>918</v>
      </c>
      <c r="J244" t="s">
        <v>25</v>
      </c>
      <c r="K244" t="s">
        <v>26</v>
      </c>
      <c r="L244" t="s">
        <v>302</v>
      </c>
      <c r="M244" t="s">
        <v>210</v>
      </c>
      <c r="N244">
        <v>60610</v>
      </c>
      <c r="O244" t="s">
        <v>104</v>
      </c>
      <c r="P244" t="s">
        <v>929</v>
      </c>
      <c r="Q244" t="s">
        <v>31</v>
      </c>
      <c r="R244" t="s">
        <v>64</v>
      </c>
      <c r="S244" t="s">
        <v>930</v>
      </c>
      <c r="T244">
        <v>4.0439999999999996</v>
      </c>
      <c r="U244">
        <v>3</v>
      </c>
      <c r="V244">
        <v>0.6</v>
      </c>
      <c r="W244">
        <v>-2.8308</v>
      </c>
    </row>
    <row r="245" spans="1:23" x14ac:dyDescent="0.35">
      <c r="A245" s="1">
        <v>244</v>
      </c>
      <c r="B245" t="s">
        <v>916</v>
      </c>
      <c r="C245" s="2">
        <v>42525</v>
      </c>
      <c r="D245" s="2">
        <v>42530</v>
      </c>
      <c r="E245" s="2" t="str">
        <f t="shared" si="3"/>
        <v>Jun</v>
      </c>
      <c r="F245" s="5">
        <f>YEAR(Table1[[#This Row],[Order Date]])</f>
        <v>2016</v>
      </c>
      <c r="G245" t="s">
        <v>22</v>
      </c>
      <c r="H245" t="s">
        <v>917</v>
      </c>
      <c r="I245" t="s">
        <v>918</v>
      </c>
      <c r="J245" t="s">
        <v>25</v>
      </c>
      <c r="K245" t="s">
        <v>26</v>
      </c>
      <c r="L245" t="s">
        <v>302</v>
      </c>
      <c r="M245" t="s">
        <v>210</v>
      </c>
      <c r="N245">
        <v>60610</v>
      </c>
      <c r="O245" t="s">
        <v>104</v>
      </c>
      <c r="P245" t="s">
        <v>781</v>
      </c>
      <c r="Q245" t="s">
        <v>45</v>
      </c>
      <c r="R245" t="s">
        <v>67</v>
      </c>
      <c r="S245" t="s">
        <v>782</v>
      </c>
      <c r="T245">
        <v>7.4080000000000004</v>
      </c>
      <c r="U245">
        <v>2</v>
      </c>
      <c r="V245">
        <v>0.2</v>
      </c>
      <c r="W245">
        <v>1.2038</v>
      </c>
    </row>
    <row r="246" spans="1:23" x14ac:dyDescent="0.35">
      <c r="A246" s="1">
        <v>245</v>
      </c>
      <c r="B246" t="s">
        <v>931</v>
      </c>
      <c r="C246" s="2">
        <v>41791</v>
      </c>
      <c r="D246" s="2">
        <v>41796</v>
      </c>
      <c r="E246" s="2" t="str">
        <f t="shared" si="3"/>
        <v>Jun</v>
      </c>
      <c r="F246" s="5">
        <f>YEAR(Table1[[#This Row],[Order Date]])</f>
        <v>2014</v>
      </c>
      <c r="G246" t="s">
        <v>22</v>
      </c>
      <c r="H246" t="s">
        <v>932</v>
      </c>
      <c r="I246" t="s">
        <v>933</v>
      </c>
      <c r="J246" t="s">
        <v>101</v>
      </c>
      <c r="K246" t="s">
        <v>26</v>
      </c>
      <c r="L246" t="s">
        <v>934</v>
      </c>
      <c r="M246" t="s">
        <v>228</v>
      </c>
      <c r="N246">
        <v>55044</v>
      </c>
      <c r="O246" t="s">
        <v>104</v>
      </c>
      <c r="P246" t="s">
        <v>532</v>
      </c>
      <c r="Q246" t="s">
        <v>31</v>
      </c>
      <c r="R246" t="s">
        <v>35</v>
      </c>
      <c r="S246" t="s">
        <v>533</v>
      </c>
      <c r="T246">
        <v>2001.86</v>
      </c>
      <c r="U246">
        <v>7</v>
      </c>
      <c r="V246">
        <v>0</v>
      </c>
      <c r="W246">
        <v>580.5394</v>
      </c>
    </row>
    <row r="247" spans="1:23" x14ac:dyDescent="0.35">
      <c r="A247" s="1">
        <v>246</v>
      </c>
      <c r="B247" t="s">
        <v>931</v>
      </c>
      <c r="C247" s="2">
        <v>41791</v>
      </c>
      <c r="D247" s="2">
        <v>41796</v>
      </c>
      <c r="E247" s="2" t="str">
        <f t="shared" si="3"/>
        <v>Jun</v>
      </c>
      <c r="F247" s="5">
        <f>YEAR(Table1[[#This Row],[Order Date]])</f>
        <v>2014</v>
      </c>
      <c r="G247" t="s">
        <v>22</v>
      </c>
      <c r="H247" t="s">
        <v>932</v>
      </c>
      <c r="I247" t="s">
        <v>933</v>
      </c>
      <c r="J247" t="s">
        <v>101</v>
      </c>
      <c r="K247" t="s">
        <v>26</v>
      </c>
      <c r="L247" t="s">
        <v>934</v>
      </c>
      <c r="M247" t="s">
        <v>228</v>
      </c>
      <c r="N247">
        <v>55044</v>
      </c>
      <c r="O247" t="s">
        <v>104</v>
      </c>
      <c r="P247" t="s">
        <v>935</v>
      </c>
      <c r="Q247" t="s">
        <v>45</v>
      </c>
      <c r="R247" t="s">
        <v>58</v>
      </c>
      <c r="S247" t="s">
        <v>936</v>
      </c>
      <c r="T247">
        <v>166.72</v>
      </c>
      <c r="U247">
        <v>2</v>
      </c>
      <c r="V247">
        <v>0</v>
      </c>
      <c r="W247">
        <v>41.68</v>
      </c>
    </row>
    <row r="248" spans="1:23" x14ac:dyDescent="0.35">
      <c r="A248" s="1">
        <v>247</v>
      </c>
      <c r="B248" t="s">
        <v>931</v>
      </c>
      <c r="C248" s="2">
        <v>41791</v>
      </c>
      <c r="D248" s="2">
        <v>41796</v>
      </c>
      <c r="E248" s="2" t="str">
        <f t="shared" si="3"/>
        <v>Jun</v>
      </c>
      <c r="F248" s="5">
        <f>YEAR(Table1[[#This Row],[Order Date]])</f>
        <v>2014</v>
      </c>
      <c r="G248" t="s">
        <v>22</v>
      </c>
      <c r="H248" t="s">
        <v>932</v>
      </c>
      <c r="I248" t="s">
        <v>933</v>
      </c>
      <c r="J248" t="s">
        <v>101</v>
      </c>
      <c r="K248" t="s">
        <v>26</v>
      </c>
      <c r="L248" t="s">
        <v>934</v>
      </c>
      <c r="M248" t="s">
        <v>228</v>
      </c>
      <c r="N248">
        <v>55044</v>
      </c>
      <c r="O248" t="s">
        <v>104</v>
      </c>
      <c r="P248" t="s">
        <v>937</v>
      </c>
      <c r="Q248" t="s">
        <v>45</v>
      </c>
      <c r="R248" t="s">
        <v>89</v>
      </c>
      <c r="S248" t="s">
        <v>938</v>
      </c>
      <c r="T248">
        <v>47.88</v>
      </c>
      <c r="U248">
        <v>6</v>
      </c>
      <c r="V248">
        <v>0</v>
      </c>
      <c r="W248">
        <v>23.94</v>
      </c>
    </row>
    <row r="249" spans="1:23" x14ac:dyDescent="0.35">
      <c r="A249" s="1">
        <v>248</v>
      </c>
      <c r="B249" t="s">
        <v>931</v>
      </c>
      <c r="C249" s="2">
        <v>41791</v>
      </c>
      <c r="D249" s="2">
        <v>41796</v>
      </c>
      <c r="E249" s="2" t="str">
        <f t="shared" si="3"/>
        <v>Jun</v>
      </c>
      <c r="F249" s="5">
        <f>YEAR(Table1[[#This Row],[Order Date]])</f>
        <v>2014</v>
      </c>
      <c r="G249" t="s">
        <v>22</v>
      </c>
      <c r="H249" t="s">
        <v>932</v>
      </c>
      <c r="I249" t="s">
        <v>933</v>
      </c>
      <c r="J249" t="s">
        <v>101</v>
      </c>
      <c r="K249" t="s">
        <v>26</v>
      </c>
      <c r="L249" t="s">
        <v>934</v>
      </c>
      <c r="M249" t="s">
        <v>228</v>
      </c>
      <c r="N249">
        <v>55044</v>
      </c>
      <c r="O249" t="s">
        <v>104</v>
      </c>
      <c r="P249" t="s">
        <v>939</v>
      </c>
      <c r="Q249" t="s">
        <v>45</v>
      </c>
      <c r="R249" t="s">
        <v>77</v>
      </c>
      <c r="S249" t="s">
        <v>940</v>
      </c>
      <c r="T249">
        <v>1503.25</v>
      </c>
      <c r="U249">
        <v>5</v>
      </c>
      <c r="V249">
        <v>0</v>
      </c>
      <c r="W249">
        <v>496.07249999999999</v>
      </c>
    </row>
    <row r="250" spans="1:23" x14ac:dyDescent="0.35">
      <c r="A250" s="1">
        <v>249</v>
      </c>
      <c r="B250" t="s">
        <v>931</v>
      </c>
      <c r="C250" s="2">
        <v>41791</v>
      </c>
      <c r="D250" s="2">
        <v>41796</v>
      </c>
      <c r="E250" s="2" t="str">
        <f t="shared" si="3"/>
        <v>Jun</v>
      </c>
      <c r="F250" s="5">
        <f>YEAR(Table1[[#This Row],[Order Date]])</f>
        <v>2014</v>
      </c>
      <c r="G250" t="s">
        <v>22</v>
      </c>
      <c r="H250" t="s">
        <v>932</v>
      </c>
      <c r="I250" t="s">
        <v>933</v>
      </c>
      <c r="J250" t="s">
        <v>101</v>
      </c>
      <c r="K250" t="s">
        <v>26</v>
      </c>
      <c r="L250" t="s">
        <v>934</v>
      </c>
      <c r="M250" t="s">
        <v>228</v>
      </c>
      <c r="N250">
        <v>55044</v>
      </c>
      <c r="O250" t="s">
        <v>104</v>
      </c>
      <c r="P250" t="s">
        <v>769</v>
      </c>
      <c r="Q250" t="s">
        <v>45</v>
      </c>
      <c r="R250" t="s">
        <v>89</v>
      </c>
      <c r="S250" t="s">
        <v>770</v>
      </c>
      <c r="T250">
        <v>25.92</v>
      </c>
      <c r="U250">
        <v>4</v>
      </c>
      <c r="V250">
        <v>0</v>
      </c>
      <c r="W250">
        <v>12.441599999999999</v>
      </c>
    </row>
    <row r="251" spans="1:23" x14ac:dyDescent="0.35">
      <c r="A251" s="1">
        <v>250</v>
      </c>
      <c r="B251" t="s">
        <v>941</v>
      </c>
      <c r="C251" s="2">
        <v>42714</v>
      </c>
      <c r="D251" s="2">
        <v>42719</v>
      </c>
      <c r="E251" s="2" t="str">
        <f t="shared" si="3"/>
        <v>Dec</v>
      </c>
      <c r="F251" s="5">
        <f>YEAR(Table1[[#This Row],[Order Date]])</f>
        <v>2016</v>
      </c>
      <c r="G251" t="s">
        <v>22</v>
      </c>
      <c r="H251" t="s">
        <v>942</v>
      </c>
      <c r="I251" t="s">
        <v>943</v>
      </c>
      <c r="J251" t="s">
        <v>25</v>
      </c>
      <c r="K251" t="s">
        <v>26</v>
      </c>
      <c r="L251" t="s">
        <v>126</v>
      </c>
      <c r="M251" t="s">
        <v>42</v>
      </c>
      <c r="N251">
        <v>94109</v>
      </c>
      <c r="O251" t="s">
        <v>43</v>
      </c>
      <c r="P251" t="s">
        <v>944</v>
      </c>
      <c r="Q251" t="s">
        <v>31</v>
      </c>
      <c r="R251" t="s">
        <v>35</v>
      </c>
      <c r="S251" t="s">
        <v>945</v>
      </c>
      <c r="T251">
        <v>321.56799999999998</v>
      </c>
      <c r="U251">
        <v>2</v>
      </c>
      <c r="V251">
        <v>0.2</v>
      </c>
      <c r="W251">
        <v>28.1372</v>
      </c>
    </row>
    <row r="252" spans="1:23" x14ac:dyDescent="0.35">
      <c r="A252" s="1">
        <v>251</v>
      </c>
      <c r="B252" t="s">
        <v>946</v>
      </c>
      <c r="C252" s="2">
        <v>42624</v>
      </c>
      <c r="D252" s="2">
        <v>42630</v>
      </c>
      <c r="E252" s="2" t="str">
        <f t="shared" si="3"/>
        <v>Sep</v>
      </c>
      <c r="F252" s="5">
        <f>YEAR(Table1[[#This Row],[Order Date]])</f>
        <v>2016</v>
      </c>
      <c r="G252" t="s">
        <v>49</v>
      </c>
      <c r="H252" t="s">
        <v>947</v>
      </c>
      <c r="I252" t="s">
        <v>948</v>
      </c>
      <c r="J252" t="s">
        <v>25</v>
      </c>
      <c r="K252" t="s">
        <v>26</v>
      </c>
      <c r="L252" t="s">
        <v>949</v>
      </c>
      <c r="M252" t="s">
        <v>42</v>
      </c>
      <c r="N252">
        <v>92037</v>
      </c>
      <c r="O252" t="s">
        <v>43</v>
      </c>
      <c r="P252" t="s">
        <v>950</v>
      </c>
      <c r="Q252" t="s">
        <v>45</v>
      </c>
      <c r="R252" t="s">
        <v>89</v>
      </c>
      <c r="S252" t="s">
        <v>951</v>
      </c>
      <c r="T252">
        <v>7.61</v>
      </c>
      <c r="U252">
        <v>1</v>
      </c>
      <c r="V252">
        <v>0</v>
      </c>
      <c r="W252">
        <v>3.5767000000000002</v>
      </c>
    </row>
    <row r="253" spans="1:23" x14ac:dyDescent="0.35">
      <c r="A253" s="1">
        <v>252</v>
      </c>
      <c r="B253" t="s">
        <v>946</v>
      </c>
      <c r="C253" s="2">
        <v>42624</v>
      </c>
      <c r="D253" s="2">
        <v>42630</v>
      </c>
      <c r="E253" s="2" t="str">
        <f t="shared" si="3"/>
        <v>Sep</v>
      </c>
      <c r="F253" s="5">
        <f>YEAR(Table1[[#This Row],[Order Date]])</f>
        <v>2016</v>
      </c>
      <c r="G253" t="s">
        <v>49</v>
      </c>
      <c r="H253" t="s">
        <v>947</v>
      </c>
      <c r="I253" t="s">
        <v>948</v>
      </c>
      <c r="J253" t="s">
        <v>25</v>
      </c>
      <c r="K253" t="s">
        <v>26</v>
      </c>
      <c r="L253" t="s">
        <v>949</v>
      </c>
      <c r="M253" t="s">
        <v>42</v>
      </c>
      <c r="N253">
        <v>92037</v>
      </c>
      <c r="O253" t="s">
        <v>43</v>
      </c>
      <c r="P253" t="s">
        <v>908</v>
      </c>
      <c r="Q253" t="s">
        <v>70</v>
      </c>
      <c r="R253" t="s">
        <v>160</v>
      </c>
      <c r="S253" t="s">
        <v>909</v>
      </c>
      <c r="T253">
        <v>3347.37</v>
      </c>
      <c r="U253">
        <v>13</v>
      </c>
      <c r="V253">
        <v>0</v>
      </c>
      <c r="W253">
        <v>636.00030000000004</v>
      </c>
    </row>
    <row r="254" spans="1:23" x14ac:dyDescent="0.35">
      <c r="A254" s="1">
        <v>253</v>
      </c>
      <c r="B254" t="s">
        <v>952</v>
      </c>
      <c r="C254" s="2">
        <v>42714</v>
      </c>
      <c r="D254" s="2">
        <v>42717</v>
      </c>
      <c r="E254" s="2" t="str">
        <f t="shared" si="3"/>
        <v>Dec</v>
      </c>
      <c r="F254" s="5">
        <f>YEAR(Table1[[#This Row],[Order Date]])</f>
        <v>2016</v>
      </c>
      <c r="G254" t="s">
        <v>187</v>
      </c>
      <c r="H254" t="s">
        <v>953</v>
      </c>
      <c r="I254" t="s">
        <v>954</v>
      </c>
      <c r="J254" t="s">
        <v>25</v>
      </c>
      <c r="K254" t="s">
        <v>26</v>
      </c>
      <c r="L254" t="s">
        <v>265</v>
      </c>
      <c r="M254" t="s">
        <v>266</v>
      </c>
      <c r="N254">
        <v>10024</v>
      </c>
      <c r="O254" t="s">
        <v>147</v>
      </c>
      <c r="P254" t="s">
        <v>955</v>
      </c>
      <c r="Q254" t="s">
        <v>45</v>
      </c>
      <c r="R254" t="s">
        <v>58</v>
      </c>
      <c r="S254" t="s">
        <v>956</v>
      </c>
      <c r="T254">
        <v>80.58</v>
      </c>
      <c r="U254">
        <v>6</v>
      </c>
      <c r="V254">
        <v>0</v>
      </c>
      <c r="W254">
        <v>22.5624</v>
      </c>
    </row>
    <row r="255" spans="1:23" x14ac:dyDescent="0.35">
      <c r="A255" s="1">
        <v>254</v>
      </c>
      <c r="B255" t="s">
        <v>952</v>
      </c>
      <c r="C255" s="2">
        <v>42714</v>
      </c>
      <c r="D255" s="2">
        <v>42717</v>
      </c>
      <c r="E255" s="2" t="str">
        <f t="shared" si="3"/>
        <v>Dec</v>
      </c>
      <c r="F255" s="5">
        <f>YEAR(Table1[[#This Row],[Order Date]])</f>
        <v>2016</v>
      </c>
      <c r="G255" t="s">
        <v>187</v>
      </c>
      <c r="H255" t="s">
        <v>953</v>
      </c>
      <c r="I255" t="s">
        <v>954</v>
      </c>
      <c r="J255" t="s">
        <v>25</v>
      </c>
      <c r="K255" t="s">
        <v>26</v>
      </c>
      <c r="L255" t="s">
        <v>265</v>
      </c>
      <c r="M255" t="s">
        <v>266</v>
      </c>
      <c r="N255">
        <v>10024</v>
      </c>
      <c r="O255" t="s">
        <v>147</v>
      </c>
      <c r="P255" t="s">
        <v>957</v>
      </c>
      <c r="Q255" t="s">
        <v>45</v>
      </c>
      <c r="R255" t="s">
        <v>172</v>
      </c>
      <c r="S255" t="s">
        <v>958</v>
      </c>
      <c r="T255">
        <v>361.92</v>
      </c>
      <c r="U255">
        <v>4</v>
      </c>
      <c r="V255">
        <v>0</v>
      </c>
      <c r="W255">
        <v>162.864</v>
      </c>
    </row>
    <row r="256" spans="1:23" x14ac:dyDescent="0.35">
      <c r="A256" s="1">
        <v>255</v>
      </c>
      <c r="B256" t="s">
        <v>959</v>
      </c>
      <c r="C256" s="2">
        <v>42336</v>
      </c>
      <c r="D256" s="2">
        <v>42342</v>
      </c>
      <c r="E256" s="2" t="str">
        <f t="shared" si="3"/>
        <v>Nov</v>
      </c>
      <c r="F256" s="5">
        <f>YEAR(Table1[[#This Row],[Order Date]])</f>
        <v>2015</v>
      </c>
      <c r="G256" t="s">
        <v>49</v>
      </c>
      <c r="H256" t="s">
        <v>960</v>
      </c>
      <c r="I256" t="s">
        <v>961</v>
      </c>
      <c r="J256" t="s">
        <v>40</v>
      </c>
      <c r="K256" t="s">
        <v>26</v>
      </c>
      <c r="L256" t="s">
        <v>302</v>
      </c>
      <c r="M256" t="s">
        <v>210</v>
      </c>
      <c r="N256">
        <v>60623</v>
      </c>
      <c r="O256" t="s">
        <v>104</v>
      </c>
      <c r="P256" t="s">
        <v>929</v>
      </c>
      <c r="Q256" t="s">
        <v>31</v>
      </c>
      <c r="R256" t="s">
        <v>64</v>
      </c>
      <c r="S256" t="s">
        <v>930</v>
      </c>
      <c r="T256">
        <v>12.132</v>
      </c>
      <c r="U256">
        <v>9</v>
      </c>
      <c r="V256">
        <v>0.6</v>
      </c>
      <c r="W256">
        <v>-8.4923999999999999</v>
      </c>
    </row>
    <row r="257" spans="1:23" x14ac:dyDescent="0.35">
      <c r="A257" s="1">
        <v>256</v>
      </c>
      <c r="B257" t="s">
        <v>959</v>
      </c>
      <c r="C257" s="2">
        <v>42336</v>
      </c>
      <c r="D257" s="2">
        <v>42342</v>
      </c>
      <c r="E257" s="2" t="str">
        <f t="shared" si="3"/>
        <v>Nov</v>
      </c>
      <c r="F257" s="5">
        <f>YEAR(Table1[[#This Row],[Order Date]])</f>
        <v>2015</v>
      </c>
      <c r="G257" t="s">
        <v>49</v>
      </c>
      <c r="H257" t="s">
        <v>960</v>
      </c>
      <c r="I257" t="s">
        <v>961</v>
      </c>
      <c r="J257" t="s">
        <v>40</v>
      </c>
      <c r="K257" t="s">
        <v>26</v>
      </c>
      <c r="L257" t="s">
        <v>302</v>
      </c>
      <c r="M257" t="s">
        <v>210</v>
      </c>
      <c r="N257">
        <v>60623</v>
      </c>
      <c r="O257" t="s">
        <v>104</v>
      </c>
      <c r="P257" t="s">
        <v>962</v>
      </c>
      <c r="Q257" t="s">
        <v>45</v>
      </c>
      <c r="R257" t="s">
        <v>58</v>
      </c>
      <c r="S257" t="s">
        <v>963</v>
      </c>
      <c r="T257">
        <v>82.367999999999995</v>
      </c>
      <c r="U257">
        <v>2</v>
      </c>
      <c r="V257">
        <v>0.2</v>
      </c>
      <c r="W257">
        <v>-19.5624</v>
      </c>
    </row>
    <row r="258" spans="1:23" x14ac:dyDescent="0.35">
      <c r="A258" s="1">
        <v>257</v>
      </c>
      <c r="B258" t="s">
        <v>959</v>
      </c>
      <c r="C258" s="2">
        <v>42336</v>
      </c>
      <c r="D258" s="2">
        <v>42342</v>
      </c>
      <c r="E258" s="2" t="str">
        <f t="shared" ref="E258:E321" si="4">TEXT(C258,"mmm")</f>
        <v>Nov</v>
      </c>
      <c r="F258" s="5">
        <f>YEAR(Table1[[#This Row],[Order Date]])</f>
        <v>2015</v>
      </c>
      <c r="G258" t="s">
        <v>49</v>
      </c>
      <c r="H258" t="s">
        <v>960</v>
      </c>
      <c r="I258" t="s">
        <v>961</v>
      </c>
      <c r="J258" t="s">
        <v>40</v>
      </c>
      <c r="K258" t="s">
        <v>26</v>
      </c>
      <c r="L258" t="s">
        <v>302</v>
      </c>
      <c r="M258" t="s">
        <v>210</v>
      </c>
      <c r="N258">
        <v>60623</v>
      </c>
      <c r="O258" t="s">
        <v>104</v>
      </c>
      <c r="P258" t="s">
        <v>635</v>
      </c>
      <c r="Q258" t="s">
        <v>45</v>
      </c>
      <c r="R258" t="s">
        <v>58</v>
      </c>
      <c r="S258" t="s">
        <v>636</v>
      </c>
      <c r="T258">
        <v>53.92</v>
      </c>
      <c r="U258">
        <v>5</v>
      </c>
      <c r="V258">
        <v>0.2</v>
      </c>
      <c r="W258">
        <v>4.0439999999999996</v>
      </c>
    </row>
    <row r="259" spans="1:23" x14ac:dyDescent="0.35">
      <c r="A259" s="1">
        <v>258</v>
      </c>
      <c r="B259" t="s">
        <v>959</v>
      </c>
      <c r="C259" s="2">
        <v>42336</v>
      </c>
      <c r="D259" s="2">
        <v>42342</v>
      </c>
      <c r="E259" s="2" t="str">
        <f t="shared" si="4"/>
        <v>Nov</v>
      </c>
      <c r="F259" s="5">
        <f>YEAR(Table1[[#This Row],[Order Date]])</f>
        <v>2015</v>
      </c>
      <c r="G259" t="s">
        <v>49</v>
      </c>
      <c r="H259" t="s">
        <v>960</v>
      </c>
      <c r="I259" t="s">
        <v>961</v>
      </c>
      <c r="J259" t="s">
        <v>40</v>
      </c>
      <c r="K259" t="s">
        <v>26</v>
      </c>
      <c r="L259" t="s">
        <v>302</v>
      </c>
      <c r="M259" t="s">
        <v>210</v>
      </c>
      <c r="N259">
        <v>60623</v>
      </c>
      <c r="O259" t="s">
        <v>104</v>
      </c>
      <c r="P259" t="s">
        <v>964</v>
      </c>
      <c r="Q259" t="s">
        <v>70</v>
      </c>
      <c r="R259" t="s">
        <v>71</v>
      </c>
      <c r="S259" t="s">
        <v>965</v>
      </c>
      <c r="T259">
        <v>647.904</v>
      </c>
      <c r="U259">
        <v>6</v>
      </c>
      <c r="V259">
        <v>0.2</v>
      </c>
      <c r="W259">
        <v>56.691600000000001</v>
      </c>
    </row>
    <row r="260" spans="1:23" x14ac:dyDescent="0.35">
      <c r="A260" s="1">
        <v>259</v>
      </c>
      <c r="B260" t="s">
        <v>966</v>
      </c>
      <c r="C260" s="2">
        <v>43070</v>
      </c>
      <c r="D260" s="2">
        <v>43072</v>
      </c>
      <c r="E260" s="2" t="str">
        <f t="shared" si="4"/>
        <v>Dec</v>
      </c>
      <c r="F260" s="5">
        <f>YEAR(Table1[[#This Row],[Order Date]])</f>
        <v>2017</v>
      </c>
      <c r="G260" t="s">
        <v>22</v>
      </c>
      <c r="H260" t="s">
        <v>967</v>
      </c>
      <c r="I260" t="s">
        <v>968</v>
      </c>
      <c r="J260" t="s">
        <v>25</v>
      </c>
      <c r="K260" t="s">
        <v>26</v>
      </c>
      <c r="L260" t="s">
        <v>265</v>
      </c>
      <c r="M260" t="s">
        <v>266</v>
      </c>
      <c r="N260">
        <v>10009</v>
      </c>
      <c r="O260" t="s">
        <v>147</v>
      </c>
      <c r="P260" t="s">
        <v>969</v>
      </c>
      <c r="Q260" t="s">
        <v>70</v>
      </c>
      <c r="R260" t="s">
        <v>160</v>
      </c>
      <c r="S260" t="s">
        <v>970</v>
      </c>
      <c r="T260">
        <v>20.37</v>
      </c>
      <c r="U260">
        <v>3</v>
      </c>
      <c r="V260">
        <v>0</v>
      </c>
      <c r="W260">
        <v>6.9257999999999997</v>
      </c>
    </row>
    <row r="261" spans="1:23" x14ac:dyDescent="0.35">
      <c r="A261" s="1">
        <v>260</v>
      </c>
      <c r="B261" t="s">
        <v>966</v>
      </c>
      <c r="C261" s="2">
        <v>43070</v>
      </c>
      <c r="D261" s="2">
        <v>43072</v>
      </c>
      <c r="E261" s="2" t="str">
        <f t="shared" si="4"/>
        <v>Dec</v>
      </c>
      <c r="F261" s="5">
        <f>YEAR(Table1[[#This Row],[Order Date]])</f>
        <v>2017</v>
      </c>
      <c r="G261" t="s">
        <v>22</v>
      </c>
      <c r="H261" t="s">
        <v>967</v>
      </c>
      <c r="I261" t="s">
        <v>968</v>
      </c>
      <c r="J261" t="s">
        <v>25</v>
      </c>
      <c r="K261" t="s">
        <v>26</v>
      </c>
      <c r="L261" t="s">
        <v>265</v>
      </c>
      <c r="M261" t="s">
        <v>266</v>
      </c>
      <c r="N261">
        <v>10009</v>
      </c>
      <c r="O261" t="s">
        <v>147</v>
      </c>
      <c r="P261" t="s">
        <v>971</v>
      </c>
      <c r="Q261" t="s">
        <v>45</v>
      </c>
      <c r="R261" t="s">
        <v>58</v>
      </c>
      <c r="S261" t="s">
        <v>972</v>
      </c>
      <c r="T261">
        <v>221.55</v>
      </c>
      <c r="U261">
        <v>3</v>
      </c>
      <c r="V261">
        <v>0</v>
      </c>
      <c r="W261">
        <v>6.6464999999999996</v>
      </c>
    </row>
    <row r="262" spans="1:23" x14ac:dyDescent="0.35">
      <c r="A262" s="1">
        <v>261</v>
      </c>
      <c r="B262" t="s">
        <v>966</v>
      </c>
      <c r="C262" s="2">
        <v>43070</v>
      </c>
      <c r="D262" s="2">
        <v>43072</v>
      </c>
      <c r="E262" s="2" t="str">
        <f t="shared" si="4"/>
        <v>Dec</v>
      </c>
      <c r="F262" s="5">
        <f>YEAR(Table1[[#This Row],[Order Date]])</f>
        <v>2017</v>
      </c>
      <c r="G262" t="s">
        <v>22</v>
      </c>
      <c r="H262" t="s">
        <v>967</v>
      </c>
      <c r="I262" t="s">
        <v>968</v>
      </c>
      <c r="J262" t="s">
        <v>25</v>
      </c>
      <c r="K262" t="s">
        <v>26</v>
      </c>
      <c r="L262" t="s">
        <v>265</v>
      </c>
      <c r="M262" t="s">
        <v>266</v>
      </c>
      <c r="N262">
        <v>10009</v>
      </c>
      <c r="O262" t="s">
        <v>147</v>
      </c>
      <c r="P262" t="s">
        <v>973</v>
      </c>
      <c r="Q262" t="s">
        <v>45</v>
      </c>
      <c r="R262" t="s">
        <v>74</v>
      </c>
      <c r="S262" t="s">
        <v>974</v>
      </c>
      <c r="T262">
        <v>17.52</v>
      </c>
      <c r="U262">
        <v>5</v>
      </c>
      <c r="V262">
        <v>0.2</v>
      </c>
      <c r="W262">
        <v>6.1319999999999997</v>
      </c>
    </row>
    <row r="263" spans="1:23" x14ac:dyDescent="0.35">
      <c r="A263" s="1">
        <v>262</v>
      </c>
      <c r="B263" t="s">
        <v>975</v>
      </c>
      <c r="C263" s="2">
        <v>42894</v>
      </c>
      <c r="D263" s="2">
        <v>42898</v>
      </c>
      <c r="E263" s="2" t="str">
        <f t="shared" si="4"/>
        <v>Jun</v>
      </c>
      <c r="F263" s="5">
        <f>YEAR(Table1[[#This Row],[Order Date]])</f>
        <v>2017</v>
      </c>
      <c r="G263" t="s">
        <v>49</v>
      </c>
      <c r="H263" t="s">
        <v>976</v>
      </c>
      <c r="I263" t="s">
        <v>977</v>
      </c>
      <c r="J263" t="s">
        <v>40</v>
      </c>
      <c r="K263" t="s">
        <v>26</v>
      </c>
      <c r="L263" t="s">
        <v>602</v>
      </c>
      <c r="M263" t="s">
        <v>103</v>
      </c>
      <c r="N263">
        <v>77506</v>
      </c>
      <c r="O263" t="s">
        <v>104</v>
      </c>
      <c r="P263" t="s">
        <v>978</v>
      </c>
      <c r="Q263" t="s">
        <v>45</v>
      </c>
      <c r="R263" t="s">
        <v>77</v>
      </c>
      <c r="S263" t="s">
        <v>979</v>
      </c>
      <c r="T263">
        <v>1.6240000000000001</v>
      </c>
      <c r="U263">
        <v>2</v>
      </c>
      <c r="V263">
        <v>0.8</v>
      </c>
      <c r="W263">
        <v>-4.4660000000000002</v>
      </c>
    </row>
    <row r="264" spans="1:23" x14ac:dyDescent="0.35">
      <c r="A264" s="1">
        <v>263</v>
      </c>
      <c r="B264" t="s">
        <v>980</v>
      </c>
      <c r="C264" s="2">
        <v>41901</v>
      </c>
      <c r="D264" s="2">
        <v>41903</v>
      </c>
      <c r="E264" s="2" t="str">
        <f t="shared" si="4"/>
        <v>Sep</v>
      </c>
      <c r="F264" s="5">
        <f>YEAR(Table1[[#This Row],[Order Date]])</f>
        <v>2014</v>
      </c>
      <c r="G264" t="s">
        <v>22</v>
      </c>
      <c r="H264" t="s">
        <v>981</v>
      </c>
      <c r="I264" t="s">
        <v>982</v>
      </c>
      <c r="J264" t="s">
        <v>40</v>
      </c>
      <c r="K264" t="s">
        <v>26</v>
      </c>
      <c r="L264" t="s">
        <v>183</v>
      </c>
      <c r="M264" t="s">
        <v>103</v>
      </c>
      <c r="N264">
        <v>77036</v>
      </c>
      <c r="O264" t="s">
        <v>104</v>
      </c>
      <c r="P264" t="s">
        <v>682</v>
      </c>
      <c r="Q264" t="s">
        <v>70</v>
      </c>
      <c r="R264" t="s">
        <v>683</v>
      </c>
      <c r="S264" t="s">
        <v>684</v>
      </c>
      <c r="T264">
        <v>3059.982</v>
      </c>
      <c r="U264">
        <v>3</v>
      </c>
      <c r="V264">
        <v>0.4</v>
      </c>
      <c r="W264">
        <v>-509.99700000000001</v>
      </c>
    </row>
    <row r="265" spans="1:23" x14ac:dyDescent="0.35">
      <c r="A265" s="1">
        <v>264</v>
      </c>
      <c r="B265" t="s">
        <v>980</v>
      </c>
      <c r="C265" s="2">
        <v>41901</v>
      </c>
      <c r="D265" s="2">
        <v>41903</v>
      </c>
      <c r="E265" s="2" t="str">
        <f t="shared" si="4"/>
        <v>Sep</v>
      </c>
      <c r="F265" s="5">
        <f>YEAR(Table1[[#This Row],[Order Date]])</f>
        <v>2014</v>
      </c>
      <c r="G265" t="s">
        <v>22</v>
      </c>
      <c r="H265" t="s">
        <v>981</v>
      </c>
      <c r="I265" t="s">
        <v>982</v>
      </c>
      <c r="J265" t="s">
        <v>40</v>
      </c>
      <c r="K265" t="s">
        <v>26</v>
      </c>
      <c r="L265" t="s">
        <v>183</v>
      </c>
      <c r="M265" t="s">
        <v>103</v>
      </c>
      <c r="N265">
        <v>77036</v>
      </c>
      <c r="O265" t="s">
        <v>104</v>
      </c>
      <c r="P265" t="s">
        <v>983</v>
      </c>
      <c r="Q265" t="s">
        <v>70</v>
      </c>
      <c r="R265" t="s">
        <v>683</v>
      </c>
      <c r="S265" t="s">
        <v>984</v>
      </c>
      <c r="T265">
        <v>2519.9580000000001</v>
      </c>
      <c r="U265">
        <v>7</v>
      </c>
      <c r="V265">
        <v>0.4</v>
      </c>
      <c r="W265">
        <v>-251.9958</v>
      </c>
    </row>
    <row r="266" spans="1:23" x14ac:dyDescent="0.35">
      <c r="A266" s="1">
        <v>265</v>
      </c>
      <c r="B266" t="s">
        <v>985</v>
      </c>
      <c r="C266" s="2">
        <v>42527</v>
      </c>
      <c r="D266" s="2">
        <v>42534</v>
      </c>
      <c r="E266" s="2" t="str">
        <f t="shared" si="4"/>
        <v>Jun</v>
      </c>
      <c r="F266" s="5">
        <f>YEAR(Table1[[#This Row],[Order Date]])</f>
        <v>2016</v>
      </c>
      <c r="G266" t="s">
        <v>49</v>
      </c>
      <c r="H266" t="s">
        <v>986</v>
      </c>
      <c r="I266" t="s">
        <v>987</v>
      </c>
      <c r="J266" t="s">
        <v>25</v>
      </c>
      <c r="K266" t="s">
        <v>26</v>
      </c>
      <c r="L266" t="s">
        <v>302</v>
      </c>
      <c r="M266" t="s">
        <v>210</v>
      </c>
      <c r="N266">
        <v>60610</v>
      </c>
      <c r="O266" t="s">
        <v>104</v>
      </c>
      <c r="P266" t="s">
        <v>988</v>
      </c>
      <c r="Q266" t="s">
        <v>70</v>
      </c>
      <c r="R266" t="s">
        <v>71</v>
      </c>
      <c r="S266" t="s">
        <v>989</v>
      </c>
      <c r="T266">
        <v>328.22399999999999</v>
      </c>
      <c r="U266">
        <v>4</v>
      </c>
      <c r="V266">
        <v>0.2</v>
      </c>
      <c r="W266">
        <v>28.7196</v>
      </c>
    </row>
    <row r="267" spans="1:23" x14ac:dyDescent="0.35">
      <c r="A267" s="1">
        <v>266</v>
      </c>
      <c r="B267" t="s">
        <v>990</v>
      </c>
      <c r="C267" s="2">
        <v>42318</v>
      </c>
      <c r="D267" s="2">
        <v>42323</v>
      </c>
      <c r="E267" s="2" t="str">
        <f t="shared" si="4"/>
        <v>Nov</v>
      </c>
      <c r="F267" s="5">
        <f>YEAR(Table1[[#This Row],[Order Date]])</f>
        <v>2015</v>
      </c>
      <c r="G267" t="s">
        <v>49</v>
      </c>
      <c r="H267" t="s">
        <v>991</v>
      </c>
      <c r="I267" t="s">
        <v>992</v>
      </c>
      <c r="J267" t="s">
        <v>25</v>
      </c>
      <c r="K267" t="s">
        <v>26</v>
      </c>
      <c r="L267" t="s">
        <v>993</v>
      </c>
      <c r="M267" t="s">
        <v>42</v>
      </c>
      <c r="N267">
        <v>94513</v>
      </c>
      <c r="O267" t="s">
        <v>43</v>
      </c>
      <c r="P267" t="s">
        <v>994</v>
      </c>
      <c r="Q267" t="s">
        <v>70</v>
      </c>
      <c r="R267" t="s">
        <v>160</v>
      </c>
      <c r="S267" t="s">
        <v>995</v>
      </c>
      <c r="T267">
        <v>79.900000000000006</v>
      </c>
      <c r="U267">
        <v>2</v>
      </c>
      <c r="V267">
        <v>0</v>
      </c>
      <c r="W267">
        <v>35.155999999999999</v>
      </c>
    </row>
    <row r="268" spans="1:23" x14ac:dyDescent="0.35">
      <c r="A268" s="1">
        <v>267</v>
      </c>
      <c r="B268" t="s">
        <v>996</v>
      </c>
      <c r="C268" s="2">
        <v>42902</v>
      </c>
      <c r="D268" s="2">
        <v>42906</v>
      </c>
      <c r="E268" s="2" t="str">
        <f t="shared" si="4"/>
        <v>Jun</v>
      </c>
      <c r="F268" s="5">
        <f>YEAR(Table1[[#This Row],[Order Date]])</f>
        <v>2017</v>
      </c>
      <c r="G268" t="s">
        <v>49</v>
      </c>
      <c r="H268" t="s">
        <v>997</v>
      </c>
      <c r="I268" t="s">
        <v>998</v>
      </c>
      <c r="J268" t="s">
        <v>40</v>
      </c>
      <c r="K268" t="s">
        <v>26</v>
      </c>
      <c r="L268" t="s">
        <v>999</v>
      </c>
      <c r="M268" t="s">
        <v>87</v>
      </c>
      <c r="N268">
        <v>27514</v>
      </c>
      <c r="O268" t="s">
        <v>29</v>
      </c>
      <c r="P268" t="s">
        <v>1000</v>
      </c>
      <c r="Q268" t="s">
        <v>45</v>
      </c>
      <c r="R268" t="s">
        <v>67</v>
      </c>
      <c r="S268" t="s">
        <v>1001</v>
      </c>
      <c r="T268">
        <v>14.016</v>
      </c>
      <c r="U268">
        <v>3</v>
      </c>
      <c r="V268">
        <v>0.2</v>
      </c>
      <c r="W268">
        <v>4.7304000000000004</v>
      </c>
    </row>
    <row r="269" spans="1:23" x14ac:dyDescent="0.35">
      <c r="A269" s="1">
        <v>268</v>
      </c>
      <c r="B269" t="s">
        <v>1002</v>
      </c>
      <c r="C269" s="2">
        <v>42391</v>
      </c>
      <c r="D269" s="2">
        <v>42397</v>
      </c>
      <c r="E269" s="2" t="str">
        <f t="shared" si="4"/>
        <v>Jan</v>
      </c>
      <c r="F269" s="5">
        <f>YEAR(Table1[[#This Row],[Order Date]])</f>
        <v>2016</v>
      </c>
      <c r="G269" t="s">
        <v>49</v>
      </c>
      <c r="H269" t="s">
        <v>386</v>
      </c>
      <c r="I269" t="s">
        <v>387</v>
      </c>
      <c r="J269" t="s">
        <v>25</v>
      </c>
      <c r="K269" t="s">
        <v>26</v>
      </c>
      <c r="L269" t="s">
        <v>1003</v>
      </c>
      <c r="M269" t="s">
        <v>789</v>
      </c>
      <c r="N269">
        <v>7960</v>
      </c>
      <c r="O269" t="s">
        <v>147</v>
      </c>
      <c r="P269" t="s">
        <v>1004</v>
      </c>
      <c r="Q269" t="s">
        <v>45</v>
      </c>
      <c r="R269" t="s">
        <v>268</v>
      </c>
      <c r="S269" t="s">
        <v>1005</v>
      </c>
      <c r="T269">
        <v>7.56</v>
      </c>
      <c r="U269">
        <v>6</v>
      </c>
      <c r="V269">
        <v>0</v>
      </c>
      <c r="W269">
        <v>0.3024</v>
      </c>
    </row>
    <row r="270" spans="1:23" x14ac:dyDescent="0.35">
      <c r="A270" s="1">
        <v>269</v>
      </c>
      <c r="B270" t="s">
        <v>1006</v>
      </c>
      <c r="C270" s="2">
        <v>43078</v>
      </c>
      <c r="D270" s="2">
        <v>43082</v>
      </c>
      <c r="E270" s="2" t="str">
        <f t="shared" si="4"/>
        <v>Dec</v>
      </c>
      <c r="F270" s="5">
        <f>YEAR(Table1[[#This Row],[Order Date]])</f>
        <v>2017</v>
      </c>
      <c r="G270" t="s">
        <v>49</v>
      </c>
      <c r="H270" t="s">
        <v>1007</v>
      </c>
      <c r="I270" t="s">
        <v>1008</v>
      </c>
      <c r="J270" t="s">
        <v>40</v>
      </c>
      <c r="K270" t="s">
        <v>26</v>
      </c>
      <c r="L270" t="s">
        <v>1009</v>
      </c>
      <c r="M270" t="s">
        <v>497</v>
      </c>
      <c r="N270">
        <v>45231</v>
      </c>
      <c r="O270" t="s">
        <v>147</v>
      </c>
      <c r="P270" t="s">
        <v>1010</v>
      </c>
      <c r="Q270" t="s">
        <v>45</v>
      </c>
      <c r="R270" t="s">
        <v>58</v>
      </c>
      <c r="S270" t="s">
        <v>1011</v>
      </c>
      <c r="T270">
        <v>37.207999999999998</v>
      </c>
      <c r="U270">
        <v>1</v>
      </c>
      <c r="V270">
        <v>0.2</v>
      </c>
      <c r="W270">
        <v>-7.4416000000000002</v>
      </c>
    </row>
    <row r="271" spans="1:23" x14ac:dyDescent="0.35">
      <c r="A271" s="1">
        <v>270</v>
      </c>
      <c r="B271" t="s">
        <v>1006</v>
      </c>
      <c r="C271" s="2">
        <v>43078</v>
      </c>
      <c r="D271" s="2">
        <v>43082</v>
      </c>
      <c r="E271" s="2" t="str">
        <f t="shared" si="4"/>
        <v>Dec</v>
      </c>
      <c r="F271" s="5">
        <f>YEAR(Table1[[#This Row],[Order Date]])</f>
        <v>2017</v>
      </c>
      <c r="G271" t="s">
        <v>49</v>
      </c>
      <c r="H271" t="s">
        <v>1007</v>
      </c>
      <c r="I271" t="s">
        <v>1008</v>
      </c>
      <c r="J271" t="s">
        <v>40</v>
      </c>
      <c r="K271" t="s">
        <v>26</v>
      </c>
      <c r="L271" t="s">
        <v>1009</v>
      </c>
      <c r="M271" t="s">
        <v>497</v>
      </c>
      <c r="N271">
        <v>45231</v>
      </c>
      <c r="O271" t="s">
        <v>147</v>
      </c>
      <c r="P271" t="s">
        <v>1012</v>
      </c>
      <c r="Q271" t="s">
        <v>45</v>
      </c>
      <c r="R271" t="s">
        <v>172</v>
      </c>
      <c r="S271" t="s">
        <v>1013</v>
      </c>
      <c r="T271">
        <v>57.576000000000001</v>
      </c>
      <c r="U271">
        <v>3</v>
      </c>
      <c r="V271">
        <v>0.2</v>
      </c>
      <c r="W271">
        <v>21.591000000000001</v>
      </c>
    </row>
    <row r="272" spans="1:23" x14ac:dyDescent="0.35">
      <c r="A272" s="1">
        <v>271</v>
      </c>
      <c r="B272" t="s">
        <v>1014</v>
      </c>
      <c r="C272" s="2">
        <v>43097</v>
      </c>
      <c r="D272" s="2">
        <v>43102</v>
      </c>
      <c r="E272" s="2" t="str">
        <f t="shared" si="4"/>
        <v>Dec</v>
      </c>
      <c r="F272" s="5">
        <f>YEAR(Table1[[#This Row],[Order Date]])</f>
        <v>2017</v>
      </c>
      <c r="G272" t="s">
        <v>22</v>
      </c>
      <c r="H272" t="s">
        <v>1015</v>
      </c>
      <c r="I272" t="s">
        <v>1016</v>
      </c>
      <c r="J272" t="s">
        <v>40</v>
      </c>
      <c r="K272" t="s">
        <v>26</v>
      </c>
      <c r="L272" t="s">
        <v>126</v>
      </c>
      <c r="M272" t="s">
        <v>42</v>
      </c>
      <c r="N272">
        <v>94110</v>
      </c>
      <c r="O272" t="s">
        <v>43</v>
      </c>
      <c r="P272" t="s">
        <v>1017</v>
      </c>
      <c r="Q272" t="s">
        <v>45</v>
      </c>
      <c r="R272" t="s">
        <v>58</v>
      </c>
      <c r="S272" t="s">
        <v>1018</v>
      </c>
      <c r="T272">
        <v>725.84</v>
      </c>
      <c r="U272">
        <v>4</v>
      </c>
      <c r="V272">
        <v>0</v>
      </c>
      <c r="W272">
        <v>210.49359999999999</v>
      </c>
    </row>
    <row r="273" spans="1:23" x14ac:dyDescent="0.35">
      <c r="A273" s="1">
        <v>272</v>
      </c>
      <c r="B273" t="s">
        <v>1019</v>
      </c>
      <c r="C273" s="2">
        <v>42215</v>
      </c>
      <c r="D273" s="2">
        <v>42216</v>
      </c>
      <c r="E273" s="2" t="str">
        <f t="shared" si="4"/>
        <v>Jul</v>
      </c>
      <c r="F273" s="5">
        <f>YEAR(Table1[[#This Row],[Order Date]])</f>
        <v>2015</v>
      </c>
      <c r="G273" t="s">
        <v>187</v>
      </c>
      <c r="H273" t="s">
        <v>600</v>
      </c>
      <c r="I273" t="s">
        <v>601</v>
      </c>
      <c r="J273" t="s">
        <v>25</v>
      </c>
      <c r="K273" t="s">
        <v>26</v>
      </c>
      <c r="L273" t="s">
        <v>126</v>
      </c>
      <c r="M273" t="s">
        <v>42</v>
      </c>
      <c r="N273">
        <v>94109</v>
      </c>
      <c r="O273" t="s">
        <v>43</v>
      </c>
      <c r="P273" t="s">
        <v>1020</v>
      </c>
      <c r="Q273" t="s">
        <v>70</v>
      </c>
      <c r="R273" t="s">
        <v>160</v>
      </c>
      <c r="S273" t="s">
        <v>1021</v>
      </c>
      <c r="T273">
        <v>209.93</v>
      </c>
      <c r="U273">
        <v>7</v>
      </c>
      <c r="V273">
        <v>0</v>
      </c>
      <c r="W273">
        <v>92.369200000000006</v>
      </c>
    </row>
    <row r="274" spans="1:23" x14ac:dyDescent="0.35">
      <c r="A274" s="1">
        <v>273</v>
      </c>
      <c r="B274" t="s">
        <v>1019</v>
      </c>
      <c r="C274" s="2">
        <v>42215</v>
      </c>
      <c r="D274" s="2">
        <v>42216</v>
      </c>
      <c r="E274" s="2" t="str">
        <f t="shared" si="4"/>
        <v>Jul</v>
      </c>
      <c r="F274" s="5">
        <f>YEAR(Table1[[#This Row],[Order Date]])</f>
        <v>2015</v>
      </c>
      <c r="G274" t="s">
        <v>187</v>
      </c>
      <c r="H274" t="s">
        <v>600</v>
      </c>
      <c r="I274" t="s">
        <v>601</v>
      </c>
      <c r="J274" t="s">
        <v>25</v>
      </c>
      <c r="K274" t="s">
        <v>26</v>
      </c>
      <c r="L274" t="s">
        <v>126</v>
      </c>
      <c r="M274" t="s">
        <v>42</v>
      </c>
      <c r="N274">
        <v>94109</v>
      </c>
      <c r="O274" t="s">
        <v>43</v>
      </c>
      <c r="P274" t="s">
        <v>1022</v>
      </c>
      <c r="Q274" t="s">
        <v>31</v>
      </c>
      <c r="R274" t="s">
        <v>64</v>
      </c>
      <c r="S274" t="s">
        <v>1023</v>
      </c>
      <c r="T274">
        <v>5.28</v>
      </c>
      <c r="U274">
        <v>3</v>
      </c>
      <c r="V274">
        <v>0</v>
      </c>
      <c r="W274">
        <v>2.3231999999999999</v>
      </c>
    </row>
    <row r="275" spans="1:23" x14ac:dyDescent="0.35">
      <c r="A275" s="1">
        <v>274</v>
      </c>
      <c r="B275" t="s">
        <v>1019</v>
      </c>
      <c r="C275" s="2">
        <v>42215</v>
      </c>
      <c r="D275" s="2">
        <v>42216</v>
      </c>
      <c r="E275" s="2" t="str">
        <f t="shared" si="4"/>
        <v>Jul</v>
      </c>
      <c r="F275" s="5">
        <f>YEAR(Table1[[#This Row],[Order Date]])</f>
        <v>2015</v>
      </c>
      <c r="G275" t="s">
        <v>187</v>
      </c>
      <c r="H275" t="s">
        <v>600</v>
      </c>
      <c r="I275" t="s">
        <v>601</v>
      </c>
      <c r="J275" t="s">
        <v>25</v>
      </c>
      <c r="K275" t="s">
        <v>26</v>
      </c>
      <c r="L275" t="s">
        <v>126</v>
      </c>
      <c r="M275" t="s">
        <v>42</v>
      </c>
      <c r="N275">
        <v>94109</v>
      </c>
      <c r="O275" t="s">
        <v>43</v>
      </c>
      <c r="P275" t="s">
        <v>1024</v>
      </c>
      <c r="Q275" t="s">
        <v>45</v>
      </c>
      <c r="R275" t="s">
        <v>74</v>
      </c>
      <c r="S275" t="s">
        <v>1025</v>
      </c>
      <c r="T275">
        <v>10.92</v>
      </c>
      <c r="U275">
        <v>3</v>
      </c>
      <c r="V275">
        <v>0.2</v>
      </c>
      <c r="W275">
        <v>4.0949999999999998</v>
      </c>
    </row>
    <row r="276" spans="1:23" x14ac:dyDescent="0.35">
      <c r="A276" s="1">
        <v>275</v>
      </c>
      <c r="B276" t="s">
        <v>1026</v>
      </c>
      <c r="C276" s="2">
        <v>42994</v>
      </c>
      <c r="D276" s="2">
        <v>42995</v>
      </c>
      <c r="E276" s="2" t="str">
        <f t="shared" si="4"/>
        <v>Sep</v>
      </c>
      <c r="F276" s="5">
        <f>YEAR(Table1[[#This Row],[Order Date]])</f>
        <v>2017</v>
      </c>
      <c r="G276" t="s">
        <v>187</v>
      </c>
      <c r="H276" t="s">
        <v>1027</v>
      </c>
      <c r="I276" t="s">
        <v>1028</v>
      </c>
      <c r="J276" t="s">
        <v>40</v>
      </c>
      <c r="K276" t="s">
        <v>26</v>
      </c>
      <c r="L276" t="s">
        <v>1029</v>
      </c>
      <c r="M276" t="s">
        <v>42</v>
      </c>
      <c r="N276">
        <v>90301</v>
      </c>
      <c r="O276" t="s">
        <v>43</v>
      </c>
      <c r="P276" t="s">
        <v>1030</v>
      </c>
      <c r="Q276" t="s">
        <v>45</v>
      </c>
      <c r="R276" t="s">
        <v>89</v>
      </c>
      <c r="S276" t="s">
        <v>1031</v>
      </c>
      <c r="T276">
        <v>8.82</v>
      </c>
      <c r="U276">
        <v>2</v>
      </c>
      <c r="V276">
        <v>0</v>
      </c>
      <c r="W276">
        <v>4.0571999999999999</v>
      </c>
    </row>
    <row r="277" spans="1:23" x14ac:dyDescent="0.35">
      <c r="A277" s="1">
        <v>276</v>
      </c>
      <c r="B277" t="s">
        <v>1026</v>
      </c>
      <c r="C277" s="2">
        <v>42994</v>
      </c>
      <c r="D277" s="2">
        <v>42995</v>
      </c>
      <c r="E277" s="2" t="str">
        <f t="shared" si="4"/>
        <v>Sep</v>
      </c>
      <c r="F277" s="5">
        <f>YEAR(Table1[[#This Row],[Order Date]])</f>
        <v>2017</v>
      </c>
      <c r="G277" t="s">
        <v>187</v>
      </c>
      <c r="H277" t="s">
        <v>1027</v>
      </c>
      <c r="I277" t="s">
        <v>1028</v>
      </c>
      <c r="J277" t="s">
        <v>40</v>
      </c>
      <c r="K277" t="s">
        <v>26</v>
      </c>
      <c r="L277" t="s">
        <v>1029</v>
      </c>
      <c r="M277" t="s">
        <v>42</v>
      </c>
      <c r="N277">
        <v>90301</v>
      </c>
      <c r="O277" t="s">
        <v>43</v>
      </c>
      <c r="P277" t="s">
        <v>1032</v>
      </c>
      <c r="Q277" t="s">
        <v>45</v>
      </c>
      <c r="R277" t="s">
        <v>67</v>
      </c>
      <c r="S277" t="s">
        <v>1033</v>
      </c>
      <c r="T277">
        <v>5.98</v>
      </c>
      <c r="U277">
        <v>1</v>
      </c>
      <c r="V277">
        <v>0</v>
      </c>
      <c r="W277">
        <v>1.5548</v>
      </c>
    </row>
    <row r="278" spans="1:23" x14ac:dyDescent="0.35">
      <c r="A278" s="1">
        <v>277</v>
      </c>
      <c r="B278" t="s">
        <v>1034</v>
      </c>
      <c r="C278" s="2">
        <v>43021</v>
      </c>
      <c r="D278" s="2">
        <v>43025</v>
      </c>
      <c r="E278" s="2" t="str">
        <f t="shared" si="4"/>
        <v>Oct</v>
      </c>
      <c r="F278" s="5">
        <f>YEAR(Table1[[#This Row],[Order Date]])</f>
        <v>2017</v>
      </c>
      <c r="G278" t="s">
        <v>49</v>
      </c>
      <c r="H278" t="s">
        <v>1035</v>
      </c>
      <c r="I278" t="s">
        <v>1036</v>
      </c>
      <c r="J278" t="s">
        <v>40</v>
      </c>
      <c r="K278" t="s">
        <v>26</v>
      </c>
      <c r="L278" t="s">
        <v>145</v>
      </c>
      <c r="M278" t="s">
        <v>146</v>
      </c>
      <c r="N278">
        <v>19140</v>
      </c>
      <c r="O278" t="s">
        <v>147</v>
      </c>
      <c r="P278" t="s">
        <v>1037</v>
      </c>
      <c r="Q278" t="s">
        <v>45</v>
      </c>
      <c r="R278" t="s">
        <v>89</v>
      </c>
      <c r="S278" t="s">
        <v>1038</v>
      </c>
      <c r="T278">
        <v>11.648</v>
      </c>
      <c r="U278">
        <v>2</v>
      </c>
      <c r="V278">
        <v>0.2</v>
      </c>
      <c r="W278">
        <v>4.0768000000000004</v>
      </c>
    </row>
    <row r="279" spans="1:23" x14ac:dyDescent="0.35">
      <c r="A279" s="1">
        <v>278</v>
      </c>
      <c r="B279" t="s">
        <v>1034</v>
      </c>
      <c r="C279" s="2">
        <v>43021</v>
      </c>
      <c r="D279" s="2">
        <v>43025</v>
      </c>
      <c r="E279" s="2" t="str">
        <f t="shared" si="4"/>
        <v>Oct</v>
      </c>
      <c r="F279" s="5">
        <f>YEAR(Table1[[#This Row],[Order Date]])</f>
        <v>2017</v>
      </c>
      <c r="G279" t="s">
        <v>49</v>
      </c>
      <c r="H279" t="s">
        <v>1035</v>
      </c>
      <c r="I279" t="s">
        <v>1036</v>
      </c>
      <c r="J279" t="s">
        <v>40</v>
      </c>
      <c r="K279" t="s">
        <v>26</v>
      </c>
      <c r="L279" t="s">
        <v>145</v>
      </c>
      <c r="M279" t="s">
        <v>146</v>
      </c>
      <c r="N279">
        <v>19140</v>
      </c>
      <c r="O279" t="s">
        <v>147</v>
      </c>
      <c r="P279" t="s">
        <v>1039</v>
      </c>
      <c r="Q279" t="s">
        <v>45</v>
      </c>
      <c r="R279" t="s">
        <v>89</v>
      </c>
      <c r="S279" t="s">
        <v>1040</v>
      </c>
      <c r="T279">
        <v>18.175999999999998</v>
      </c>
      <c r="U279">
        <v>4</v>
      </c>
      <c r="V279">
        <v>0.2</v>
      </c>
      <c r="W279">
        <v>5.9071999999999996</v>
      </c>
    </row>
    <row r="280" spans="1:23" x14ac:dyDescent="0.35">
      <c r="A280" s="1">
        <v>279</v>
      </c>
      <c r="B280" t="s">
        <v>1034</v>
      </c>
      <c r="C280" s="2">
        <v>43021</v>
      </c>
      <c r="D280" s="2">
        <v>43025</v>
      </c>
      <c r="E280" s="2" t="str">
        <f t="shared" si="4"/>
        <v>Oct</v>
      </c>
      <c r="F280" s="5">
        <f>YEAR(Table1[[#This Row],[Order Date]])</f>
        <v>2017</v>
      </c>
      <c r="G280" t="s">
        <v>49</v>
      </c>
      <c r="H280" t="s">
        <v>1035</v>
      </c>
      <c r="I280" t="s">
        <v>1036</v>
      </c>
      <c r="J280" t="s">
        <v>40</v>
      </c>
      <c r="K280" t="s">
        <v>26</v>
      </c>
      <c r="L280" t="s">
        <v>145</v>
      </c>
      <c r="M280" t="s">
        <v>146</v>
      </c>
      <c r="N280">
        <v>19140</v>
      </c>
      <c r="O280" t="s">
        <v>147</v>
      </c>
      <c r="P280" t="s">
        <v>1041</v>
      </c>
      <c r="Q280" t="s">
        <v>45</v>
      </c>
      <c r="R280" t="s">
        <v>58</v>
      </c>
      <c r="S280" t="s">
        <v>1042</v>
      </c>
      <c r="T280">
        <v>59.712000000000003</v>
      </c>
      <c r="U280">
        <v>6</v>
      </c>
      <c r="V280">
        <v>0.2</v>
      </c>
      <c r="W280">
        <v>5.9711999999999996</v>
      </c>
    </row>
    <row r="281" spans="1:23" x14ac:dyDescent="0.35">
      <c r="A281" s="1">
        <v>280</v>
      </c>
      <c r="B281" t="s">
        <v>1034</v>
      </c>
      <c r="C281" s="2">
        <v>43021</v>
      </c>
      <c r="D281" s="2">
        <v>43025</v>
      </c>
      <c r="E281" s="2" t="str">
        <f t="shared" si="4"/>
        <v>Oct</v>
      </c>
      <c r="F281" s="5">
        <f>YEAR(Table1[[#This Row],[Order Date]])</f>
        <v>2017</v>
      </c>
      <c r="G281" t="s">
        <v>49</v>
      </c>
      <c r="H281" t="s">
        <v>1035</v>
      </c>
      <c r="I281" t="s">
        <v>1036</v>
      </c>
      <c r="J281" t="s">
        <v>40</v>
      </c>
      <c r="K281" t="s">
        <v>26</v>
      </c>
      <c r="L281" t="s">
        <v>145</v>
      </c>
      <c r="M281" t="s">
        <v>146</v>
      </c>
      <c r="N281">
        <v>19140</v>
      </c>
      <c r="O281" t="s">
        <v>147</v>
      </c>
      <c r="P281" t="s">
        <v>1043</v>
      </c>
      <c r="Q281" t="s">
        <v>45</v>
      </c>
      <c r="R281" t="s">
        <v>46</v>
      </c>
      <c r="S281" t="s">
        <v>1044</v>
      </c>
      <c r="T281">
        <v>24.84</v>
      </c>
      <c r="U281">
        <v>3</v>
      </c>
      <c r="V281">
        <v>0.2</v>
      </c>
      <c r="W281">
        <v>8.6940000000000008</v>
      </c>
    </row>
    <row r="282" spans="1:23" x14ac:dyDescent="0.35">
      <c r="A282" s="1">
        <v>281</v>
      </c>
      <c r="B282" t="s">
        <v>1045</v>
      </c>
      <c r="C282" s="2">
        <v>42273</v>
      </c>
      <c r="D282" s="2">
        <v>42275</v>
      </c>
      <c r="E282" s="2" t="str">
        <f t="shared" si="4"/>
        <v>Sep</v>
      </c>
      <c r="F282" s="5">
        <f>YEAR(Table1[[#This Row],[Order Date]])</f>
        <v>2015</v>
      </c>
      <c r="G282" t="s">
        <v>22</v>
      </c>
      <c r="H282" t="s">
        <v>518</v>
      </c>
      <c r="I282" t="s">
        <v>519</v>
      </c>
      <c r="J282" t="s">
        <v>25</v>
      </c>
      <c r="K282" t="s">
        <v>26</v>
      </c>
      <c r="L282" t="s">
        <v>183</v>
      </c>
      <c r="M282" t="s">
        <v>103</v>
      </c>
      <c r="N282">
        <v>77070</v>
      </c>
      <c r="O282" t="s">
        <v>104</v>
      </c>
      <c r="P282" t="s">
        <v>1046</v>
      </c>
      <c r="Q282" t="s">
        <v>45</v>
      </c>
      <c r="R282" t="s">
        <v>74</v>
      </c>
      <c r="S282" t="s">
        <v>1047</v>
      </c>
      <c r="T282">
        <v>2.08</v>
      </c>
      <c r="U282">
        <v>5</v>
      </c>
      <c r="V282">
        <v>0.8</v>
      </c>
      <c r="W282">
        <v>-3.4319999999999999</v>
      </c>
    </row>
    <row r="283" spans="1:23" x14ac:dyDescent="0.35">
      <c r="A283" s="1">
        <v>282</v>
      </c>
      <c r="B283" t="s">
        <v>1045</v>
      </c>
      <c r="C283" s="2">
        <v>42273</v>
      </c>
      <c r="D283" s="2">
        <v>42275</v>
      </c>
      <c r="E283" s="2" t="str">
        <f t="shared" si="4"/>
        <v>Sep</v>
      </c>
      <c r="F283" s="5">
        <f>YEAR(Table1[[#This Row],[Order Date]])</f>
        <v>2015</v>
      </c>
      <c r="G283" t="s">
        <v>22</v>
      </c>
      <c r="H283" t="s">
        <v>518</v>
      </c>
      <c r="I283" t="s">
        <v>519</v>
      </c>
      <c r="J283" t="s">
        <v>25</v>
      </c>
      <c r="K283" t="s">
        <v>26</v>
      </c>
      <c r="L283" t="s">
        <v>183</v>
      </c>
      <c r="M283" t="s">
        <v>103</v>
      </c>
      <c r="N283">
        <v>77070</v>
      </c>
      <c r="O283" t="s">
        <v>104</v>
      </c>
      <c r="P283" t="s">
        <v>1048</v>
      </c>
      <c r="Q283" t="s">
        <v>70</v>
      </c>
      <c r="R283" t="s">
        <v>71</v>
      </c>
      <c r="S283" t="s">
        <v>1049</v>
      </c>
      <c r="T283">
        <v>1114.4000000000001</v>
      </c>
      <c r="U283">
        <v>7</v>
      </c>
      <c r="V283">
        <v>0.2</v>
      </c>
      <c r="W283">
        <v>376.11</v>
      </c>
    </row>
    <row r="284" spans="1:23" x14ac:dyDescent="0.35">
      <c r="A284" s="1">
        <v>283</v>
      </c>
      <c r="B284" t="s">
        <v>1050</v>
      </c>
      <c r="C284" s="2">
        <v>42310</v>
      </c>
      <c r="D284" s="2">
        <v>42314</v>
      </c>
      <c r="E284" s="2" t="str">
        <f t="shared" si="4"/>
        <v>Nov</v>
      </c>
      <c r="F284" s="5">
        <f>YEAR(Table1[[#This Row],[Order Date]])</f>
        <v>2015</v>
      </c>
      <c r="G284" t="s">
        <v>49</v>
      </c>
      <c r="H284" t="s">
        <v>1051</v>
      </c>
      <c r="I284" t="s">
        <v>1052</v>
      </c>
      <c r="J284" t="s">
        <v>25</v>
      </c>
      <c r="K284" t="s">
        <v>26</v>
      </c>
      <c r="L284" t="s">
        <v>41</v>
      </c>
      <c r="M284" t="s">
        <v>42</v>
      </c>
      <c r="N284">
        <v>90004</v>
      </c>
      <c r="O284" t="s">
        <v>43</v>
      </c>
      <c r="P284" t="s">
        <v>1053</v>
      </c>
      <c r="Q284" t="s">
        <v>31</v>
      </c>
      <c r="R284" t="s">
        <v>55</v>
      </c>
      <c r="S284" t="s">
        <v>1054</v>
      </c>
      <c r="T284">
        <v>1038.8399999999999</v>
      </c>
      <c r="U284">
        <v>5</v>
      </c>
      <c r="V284">
        <v>0.2</v>
      </c>
      <c r="W284">
        <v>51.942</v>
      </c>
    </row>
    <row r="285" spans="1:23" x14ac:dyDescent="0.35">
      <c r="A285" s="1">
        <v>284</v>
      </c>
      <c r="B285" t="s">
        <v>1055</v>
      </c>
      <c r="C285" s="2">
        <v>42273</v>
      </c>
      <c r="D285" s="2">
        <v>42279</v>
      </c>
      <c r="E285" s="2" t="str">
        <f t="shared" si="4"/>
        <v>Sep</v>
      </c>
      <c r="F285" s="5">
        <f>YEAR(Table1[[#This Row],[Order Date]])</f>
        <v>2015</v>
      </c>
      <c r="G285" t="s">
        <v>49</v>
      </c>
      <c r="H285" t="s">
        <v>163</v>
      </c>
      <c r="I285" t="s">
        <v>164</v>
      </c>
      <c r="J285" t="s">
        <v>25</v>
      </c>
      <c r="K285" t="s">
        <v>26</v>
      </c>
      <c r="L285" t="s">
        <v>418</v>
      </c>
      <c r="M285" t="s">
        <v>419</v>
      </c>
      <c r="N285">
        <v>97206</v>
      </c>
      <c r="O285" t="s">
        <v>43</v>
      </c>
      <c r="P285" t="s">
        <v>1056</v>
      </c>
      <c r="Q285" t="s">
        <v>45</v>
      </c>
      <c r="R285" t="s">
        <v>89</v>
      </c>
      <c r="S285" t="s">
        <v>185</v>
      </c>
      <c r="T285">
        <v>141.76</v>
      </c>
      <c r="U285">
        <v>5</v>
      </c>
      <c r="V285">
        <v>0.2</v>
      </c>
      <c r="W285">
        <v>47.844000000000001</v>
      </c>
    </row>
    <row r="286" spans="1:23" x14ac:dyDescent="0.35">
      <c r="A286" s="1">
        <v>285</v>
      </c>
      <c r="B286" t="s">
        <v>1055</v>
      </c>
      <c r="C286" s="2">
        <v>42273</v>
      </c>
      <c r="D286" s="2">
        <v>42279</v>
      </c>
      <c r="E286" s="2" t="str">
        <f t="shared" si="4"/>
        <v>Sep</v>
      </c>
      <c r="F286" s="5">
        <f>YEAR(Table1[[#This Row],[Order Date]])</f>
        <v>2015</v>
      </c>
      <c r="G286" t="s">
        <v>49</v>
      </c>
      <c r="H286" t="s">
        <v>163</v>
      </c>
      <c r="I286" t="s">
        <v>164</v>
      </c>
      <c r="J286" t="s">
        <v>25</v>
      </c>
      <c r="K286" t="s">
        <v>26</v>
      </c>
      <c r="L286" t="s">
        <v>418</v>
      </c>
      <c r="M286" t="s">
        <v>419</v>
      </c>
      <c r="N286">
        <v>97206</v>
      </c>
      <c r="O286" t="s">
        <v>43</v>
      </c>
      <c r="P286" t="s">
        <v>1057</v>
      </c>
      <c r="Q286" t="s">
        <v>70</v>
      </c>
      <c r="R286" t="s">
        <v>160</v>
      </c>
      <c r="S286" t="s">
        <v>1058</v>
      </c>
      <c r="T286">
        <v>239.8</v>
      </c>
      <c r="U286">
        <v>5</v>
      </c>
      <c r="V286">
        <v>0.2</v>
      </c>
      <c r="W286">
        <v>47.96</v>
      </c>
    </row>
    <row r="287" spans="1:23" x14ac:dyDescent="0.35">
      <c r="A287" s="1">
        <v>286</v>
      </c>
      <c r="B287" t="s">
        <v>1055</v>
      </c>
      <c r="C287" s="2">
        <v>42273</v>
      </c>
      <c r="D287" s="2">
        <v>42279</v>
      </c>
      <c r="E287" s="2" t="str">
        <f t="shared" si="4"/>
        <v>Sep</v>
      </c>
      <c r="F287" s="5">
        <f>YEAR(Table1[[#This Row],[Order Date]])</f>
        <v>2015</v>
      </c>
      <c r="G287" t="s">
        <v>49</v>
      </c>
      <c r="H287" t="s">
        <v>163</v>
      </c>
      <c r="I287" t="s">
        <v>164</v>
      </c>
      <c r="J287" t="s">
        <v>25</v>
      </c>
      <c r="K287" t="s">
        <v>26</v>
      </c>
      <c r="L287" t="s">
        <v>418</v>
      </c>
      <c r="M287" t="s">
        <v>419</v>
      </c>
      <c r="N287">
        <v>97206</v>
      </c>
      <c r="O287" t="s">
        <v>43</v>
      </c>
      <c r="P287" t="s">
        <v>1059</v>
      </c>
      <c r="Q287" t="s">
        <v>45</v>
      </c>
      <c r="R287" t="s">
        <v>89</v>
      </c>
      <c r="S287" t="s">
        <v>1060</v>
      </c>
      <c r="T287">
        <v>31.103999999999999</v>
      </c>
      <c r="U287">
        <v>6</v>
      </c>
      <c r="V287">
        <v>0.2</v>
      </c>
      <c r="W287">
        <v>10.8864</v>
      </c>
    </row>
    <row r="288" spans="1:23" x14ac:dyDescent="0.35">
      <c r="A288" s="1">
        <v>287</v>
      </c>
      <c r="B288" t="s">
        <v>1061</v>
      </c>
      <c r="C288" s="2">
        <v>42722</v>
      </c>
      <c r="D288" s="2">
        <v>42724</v>
      </c>
      <c r="E288" s="2" t="str">
        <f t="shared" si="4"/>
        <v>Dec</v>
      </c>
      <c r="F288" s="5">
        <f>YEAR(Table1[[#This Row],[Order Date]])</f>
        <v>2016</v>
      </c>
      <c r="G288" t="s">
        <v>22</v>
      </c>
      <c r="H288" t="s">
        <v>1062</v>
      </c>
      <c r="I288" t="s">
        <v>1063</v>
      </c>
      <c r="J288" t="s">
        <v>40</v>
      </c>
      <c r="K288" t="s">
        <v>26</v>
      </c>
      <c r="L288" t="s">
        <v>1064</v>
      </c>
      <c r="M288" t="s">
        <v>53</v>
      </c>
      <c r="N288">
        <v>33319</v>
      </c>
      <c r="O288" t="s">
        <v>29</v>
      </c>
      <c r="P288" t="s">
        <v>1065</v>
      </c>
      <c r="Q288" t="s">
        <v>45</v>
      </c>
      <c r="R288" t="s">
        <v>74</v>
      </c>
      <c r="S288" t="s">
        <v>1066</v>
      </c>
      <c r="T288">
        <v>254.05799999999999</v>
      </c>
      <c r="U288">
        <v>7</v>
      </c>
      <c r="V288">
        <v>0.7</v>
      </c>
      <c r="W288">
        <v>-169.37200000000001</v>
      </c>
    </row>
    <row r="289" spans="1:23" x14ac:dyDescent="0.35">
      <c r="A289" s="1">
        <v>288</v>
      </c>
      <c r="B289" t="s">
        <v>1061</v>
      </c>
      <c r="C289" s="2">
        <v>42722</v>
      </c>
      <c r="D289" s="2">
        <v>42724</v>
      </c>
      <c r="E289" s="2" t="str">
        <f t="shared" si="4"/>
        <v>Dec</v>
      </c>
      <c r="F289" s="5">
        <f>YEAR(Table1[[#This Row],[Order Date]])</f>
        <v>2016</v>
      </c>
      <c r="G289" t="s">
        <v>22</v>
      </c>
      <c r="H289" t="s">
        <v>1062</v>
      </c>
      <c r="I289" t="s">
        <v>1063</v>
      </c>
      <c r="J289" t="s">
        <v>40</v>
      </c>
      <c r="K289" t="s">
        <v>26</v>
      </c>
      <c r="L289" t="s">
        <v>1064</v>
      </c>
      <c r="M289" t="s">
        <v>53</v>
      </c>
      <c r="N289">
        <v>33319</v>
      </c>
      <c r="O289" t="s">
        <v>29</v>
      </c>
      <c r="P289" t="s">
        <v>714</v>
      </c>
      <c r="Q289" t="s">
        <v>45</v>
      </c>
      <c r="R289" t="s">
        <v>77</v>
      </c>
      <c r="S289" t="s">
        <v>715</v>
      </c>
      <c r="T289">
        <v>194.52799999999999</v>
      </c>
      <c r="U289">
        <v>2</v>
      </c>
      <c r="V289">
        <v>0.2</v>
      </c>
      <c r="W289">
        <v>24.315999999999999</v>
      </c>
    </row>
    <row r="290" spans="1:23" x14ac:dyDescent="0.35">
      <c r="A290" s="1">
        <v>289</v>
      </c>
      <c r="B290" t="s">
        <v>1061</v>
      </c>
      <c r="C290" s="2">
        <v>42722</v>
      </c>
      <c r="D290" s="2">
        <v>42724</v>
      </c>
      <c r="E290" s="2" t="str">
        <f t="shared" si="4"/>
        <v>Dec</v>
      </c>
      <c r="F290" s="5">
        <f>YEAR(Table1[[#This Row],[Order Date]])</f>
        <v>2016</v>
      </c>
      <c r="G290" t="s">
        <v>22</v>
      </c>
      <c r="H290" t="s">
        <v>1062</v>
      </c>
      <c r="I290" t="s">
        <v>1063</v>
      </c>
      <c r="J290" t="s">
        <v>40</v>
      </c>
      <c r="K290" t="s">
        <v>26</v>
      </c>
      <c r="L290" t="s">
        <v>1064</v>
      </c>
      <c r="M290" t="s">
        <v>53</v>
      </c>
      <c r="N290">
        <v>33319</v>
      </c>
      <c r="O290" t="s">
        <v>29</v>
      </c>
      <c r="P290" t="s">
        <v>1067</v>
      </c>
      <c r="Q290" t="s">
        <v>45</v>
      </c>
      <c r="R290" t="s">
        <v>578</v>
      </c>
      <c r="S290" t="s">
        <v>1068</v>
      </c>
      <c r="T290">
        <v>961.48</v>
      </c>
      <c r="U290">
        <v>5</v>
      </c>
      <c r="V290">
        <v>0.2</v>
      </c>
      <c r="W290">
        <v>-204.31450000000001</v>
      </c>
    </row>
    <row r="291" spans="1:23" x14ac:dyDescent="0.35">
      <c r="A291" s="1">
        <v>290</v>
      </c>
      <c r="B291" t="s">
        <v>1069</v>
      </c>
      <c r="C291" s="2">
        <v>42694</v>
      </c>
      <c r="D291" s="2">
        <v>42698</v>
      </c>
      <c r="E291" s="2" t="str">
        <f t="shared" si="4"/>
        <v>Nov</v>
      </c>
      <c r="F291" s="5">
        <f>YEAR(Table1[[#This Row],[Order Date]])</f>
        <v>2016</v>
      </c>
      <c r="G291" t="s">
        <v>22</v>
      </c>
      <c r="H291" t="s">
        <v>1070</v>
      </c>
      <c r="I291" t="s">
        <v>1071</v>
      </c>
      <c r="J291" t="s">
        <v>101</v>
      </c>
      <c r="K291" t="s">
        <v>26</v>
      </c>
      <c r="L291" t="s">
        <v>496</v>
      </c>
      <c r="M291" t="s">
        <v>497</v>
      </c>
      <c r="N291">
        <v>43229</v>
      </c>
      <c r="O291" t="s">
        <v>147</v>
      </c>
      <c r="P291" t="s">
        <v>1072</v>
      </c>
      <c r="Q291" t="s">
        <v>45</v>
      </c>
      <c r="R291" t="s">
        <v>268</v>
      </c>
      <c r="S291" t="s">
        <v>1073</v>
      </c>
      <c r="T291">
        <v>19.096</v>
      </c>
      <c r="U291">
        <v>7</v>
      </c>
      <c r="V291">
        <v>0.2</v>
      </c>
      <c r="W291">
        <v>6.6836000000000002</v>
      </c>
    </row>
    <row r="292" spans="1:23" x14ac:dyDescent="0.35">
      <c r="A292" s="1">
        <v>291</v>
      </c>
      <c r="B292" t="s">
        <v>1069</v>
      </c>
      <c r="C292" s="2">
        <v>42694</v>
      </c>
      <c r="D292" s="2">
        <v>42698</v>
      </c>
      <c r="E292" s="2" t="str">
        <f t="shared" si="4"/>
        <v>Nov</v>
      </c>
      <c r="F292" s="5">
        <f>YEAR(Table1[[#This Row],[Order Date]])</f>
        <v>2016</v>
      </c>
      <c r="G292" t="s">
        <v>22</v>
      </c>
      <c r="H292" t="s">
        <v>1070</v>
      </c>
      <c r="I292" t="s">
        <v>1071</v>
      </c>
      <c r="J292" t="s">
        <v>101</v>
      </c>
      <c r="K292" t="s">
        <v>26</v>
      </c>
      <c r="L292" t="s">
        <v>496</v>
      </c>
      <c r="M292" t="s">
        <v>497</v>
      </c>
      <c r="N292">
        <v>43229</v>
      </c>
      <c r="O292" t="s">
        <v>147</v>
      </c>
      <c r="P292" t="s">
        <v>1074</v>
      </c>
      <c r="Q292" t="s">
        <v>45</v>
      </c>
      <c r="R292" t="s">
        <v>46</v>
      </c>
      <c r="S292" t="s">
        <v>1075</v>
      </c>
      <c r="T292">
        <v>18.495999999999999</v>
      </c>
      <c r="U292">
        <v>8</v>
      </c>
      <c r="V292">
        <v>0.2</v>
      </c>
      <c r="W292">
        <v>6.2423999999999999</v>
      </c>
    </row>
    <row r="293" spans="1:23" x14ac:dyDescent="0.35">
      <c r="A293" s="1">
        <v>292</v>
      </c>
      <c r="B293" t="s">
        <v>1069</v>
      </c>
      <c r="C293" s="2">
        <v>42694</v>
      </c>
      <c r="D293" s="2">
        <v>42698</v>
      </c>
      <c r="E293" s="2" t="str">
        <f t="shared" si="4"/>
        <v>Nov</v>
      </c>
      <c r="F293" s="5">
        <f>YEAR(Table1[[#This Row],[Order Date]])</f>
        <v>2016</v>
      </c>
      <c r="G293" t="s">
        <v>22</v>
      </c>
      <c r="H293" t="s">
        <v>1070</v>
      </c>
      <c r="I293" t="s">
        <v>1071</v>
      </c>
      <c r="J293" t="s">
        <v>101</v>
      </c>
      <c r="K293" t="s">
        <v>26</v>
      </c>
      <c r="L293" t="s">
        <v>496</v>
      </c>
      <c r="M293" t="s">
        <v>497</v>
      </c>
      <c r="N293">
        <v>43229</v>
      </c>
      <c r="O293" t="s">
        <v>147</v>
      </c>
      <c r="P293" t="s">
        <v>1076</v>
      </c>
      <c r="Q293" t="s">
        <v>70</v>
      </c>
      <c r="R293" t="s">
        <v>160</v>
      </c>
      <c r="S293" t="s">
        <v>1077</v>
      </c>
      <c r="T293">
        <v>255.98400000000001</v>
      </c>
      <c r="U293">
        <v>2</v>
      </c>
      <c r="V293">
        <v>0.2</v>
      </c>
      <c r="W293">
        <v>54.396599999999999</v>
      </c>
    </row>
    <row r="294" spans="1:23" x14ac:dyDescent="0.35">
      <c r="A294" s="1">
        <v>293</v>
      </c>
      <c r="B294" t="s">
        <v>1069</v>
      </c>
      <c r="C294" s="2">
        <v>42694</v>
      </c>
      <c r="D294" s="2">
        <v>42698</v>
      </c>
      <c r="E294" s="2" t="str">
        <f t="shared" si="4"/>
        <v>Nov</v>
      </c>
      <c r="F294" s="5">
        <f>YEAR(Table1[[#This Row],[Order Date]])</f>
        <v>2016</v>
      </c>
      <c r="G294" t="s">
        <v>22</v>
      </c>
      <c r="H294" t="s">
        <v>1070</v>
      </c>
      <c r="I294" t="s">
        <v>1071</v>
      </c>
      <c r="J294" t="s">
        <v>101</v>
      </c>
      <c r="K294" t="s">
        <v>26</v>
      </c>
      <c r="L294" t="s">
        <v>496</v>
      </c>
      <c r="M294" t="s">
        <v>497</v>
      </c>
      <c r="N294">
        <v>43229</v>
      </c>
      <c r="O294" t="s">
        <v>147</v>
      </c>
      <c r="P294" t="s">
        <v>1078</v>
      </c>
      <c r="Q294" t="s">
        <v>31</v>
      </c>
      <c r="R294" t="s">
        <v>32</v>
      </c>
      <c r="S294" t="s">
        <v>1079</v>
      </c>
      <c r="T294">
        <v>86.97</v>
      </c>
      <c r="U294">
        <v>3</v>
      </c>
      <c r="V294">
        <v>0.5</v>
      </c>
      <c r="W294">
        <v>-48.703200000000002</v>
      </c>
    </row>
    <row r="295" spans="1:23" x14ac:dyDescent="0.35">
      <c r="A295" s="1">
        <v>294</v>
      </c>
      <c r="B295" t="s">
        <v>1080</v>
      </c>
      <c r="C295" s="2">
        <v>41999</v>
      </c>
      <c r="D295" s="2">
        <v>42001</v>
      </c>
      <c r="E295" s="2" t="str">
        <f t="shared" si="4"/>
        <v>Dec</v>
      </c>
      <c r="F295" s="5">
        <f>YEAR(Table1[[#This Row],[Order Date]])</f>
        <v>2014</v>
      </c>
      <c r="G295" t="s">
        <v>187</v>
      </c>
      <c r="H295" t="s">
        <v>1081</v>
      </c>
      <c r="I295" t="s">
        <v>1082</v>
      </c>
      <c r="J295" t="s">
        <v>40</v>
      </c>
      <c r="K295" t="s">
        <v>26</v>
      </c>
      <c r="L295" t="s">
        <v>1083</v>
      </c>
      <c r="M295" t="s">
        <v>456</v>
      </c>
      <c r="N295">
        <v>80906</v>
      </c>
      <c r="O295" t="s">
        <v>43</v>
      </c>
      <c r="P295" t="s">
        <v>1084</v>
      </c>
      <c r="Q295" t="s">
        <v>31</v>
      </c>
      <c r="R295" t="s">
        <v>64</v>
      </c>
      <c r="S295" t="s">
        <v>1085</v>
      </c>
      <c r="T295">
        <v>300.416</v>
      </c>
      <c r="U295">
        <v>8</v>
      </c>
      <c r="V295">
        <v>0.2</v>
      </c>
      <c r="W295">
        <v>78.859200000000001</v>
      </c>
    </row>
    <row r="296" spans="1:23" x14ac:dyDescent="0.35">
      <c r="A296" s="1">
        <v>295</v>
      </c>
      <c r="B296" t="s">
        <v>1080</v>
      </c>
      <c r="C296" s="2">
        <v>41999</v>
      </c>
      <c r="D296" s="2">
        <v>42001</v>
      </c>
      <c r="E296" s="2" t="str">
        <f t="shared" si="4"/>
        <v>Dec</v>
      </c>
      <c r="F296" s="5">
        <f>YEAR(Table1[[#This Row],[Order Date]])</f>
        <v>2014</v>
      </c>
      <c r="G296" t="s">
        <v>187</v>
      </c>
      <c r="H296" t="s">
        <v>1081</v>
      </c>
      <c r="I296" t="s">
        <v>1082</v>
      </c>
      <c r="J296" t="s">
        <v>40</v>
      </c>
      <c r="K296" t="s">
        <v>26</v>
      </c>
      <c r="L296" t="s">
        <v>1083</v>
      </c>
      <c r="M296" t="s">
        <v>456</v>
      </c>
      <c r="N296">
        <v>80906</v>
      </c>
      <c r="O296" t="s">
        <v>43</v>
      </c>
      <c r="P296" t="s">
        <v>1086</v>
      </c>
      <c r="Q296" t="s">
        <v>31</v>
      </c>
      <c r="R296" t="s">
        <v>35</v>
      </c>
      <c r="S296" t="s">
        <v>1087</v>
      </c>
      <c r="T296">
        <v>230.352</v>
      </c>
      <c r="U296">
        <v>3</v>
      </c>
      <c r="V296">
        <v>0.2</v>
      </c>
      <c r="W296">
        <v>20.155799999999999</v>
      </c>
    </row>
    <row r="297" spans="1:23" x14ac:dyDescent="0.35">
      <c r="A297" s="1">
        <v>296</v>
      </c>
      <c r="B297" t="s">
        <v>1080</v>
      </c>
      <c r="C297" s="2">
        <v>41999</v>
      </c>
      <c r="D297" s="2">
        <v>42001</v>
      </c>
      <c r="E297" s="2" t="str">
        <f t="shared" si="4"/>
        <v>Dec</v>
      </c>
      <c r="F297" s="5">
        <f>YEAR(Table1[[#This Row],[Order Date]])</f>
        <v>2014</v>
      </c>
      <c r="G297" t="s">
        <v>187</v>
      </c>
      <c r="H297" t="s">
        <v>1081</v>
      </c>
      <c r="I297" t="s">
        <v>1082</v>
      </c>
      <c r="J297" t="s">
        <v>40</v>
      </c>
      <c r="K297" t="s">
        <v>26</v>
      </c>
      <c r="L297" t="s">
        <v>1083</v>
      </c>
      <c r="M297" t="s">
        <v>456</v>
      </c>
      <c r="N297">
        <v>80906</v>
      </c>
      <c r="O297" t="s">
        <v>43</v>
      </c>
      <c r="P297" t="s">
        <v>1088</v>
      </c>
      <c r="Q297" t="s">
        <v>31</v>
      </c>
      <c r="R297" t="s">
        <v>64</v>
      </c>
      <c r="S297" t="s">
        <v>1089</v>
      </c>
      <c r="T297">
        <v>218.352</v>
      </c>
      <c r="U297">
        <v>3</v>
      </c>
      <c r="V297">
        <v>0.2</v>
      </c>
      <c r="W297">
        <v>-24.564599999999999</v>
      </c>
    </row>
    <row r="298" spans="1:23" x14ac:dyDescent="0.35">
      <c r="A298" s="1">
        <v>297</v>
      </c>
      <c r="B298" t="s">
        <v>1080</v>
      </c>
      <c r="C298" s="2">
        <v>41999</v>
      </c>
      <c r="D298" s="2">
        <v>42001</v>
      </c>
      <c r="E298" s="2" t="str">
        <f t="shared" si="4"/>
        <v>Dec</v>
      </c>
      <c r="F298" s="5">
        <f>YEAR(Table1[[#This Row],[Order Date]])</f>
        <v>2014</v>
      </c>
      <c r="G298" t="s">
        <v>187</v>
      </c>
      <c r="H298" t="s">
        <v>1081</v>
      </c>
      <c r="I298" t="s">
        <v>1082</v>
      </c>
      <c r="J298" t="s">
        <v>40</v>
      </c>
      <c r="K298" t="s">
        <v>26</v>
      </c>
      <c r="L298" t="s">
        <v>1083</v>
      </c>
      <c r="M298" t="s">
        <v>456</v>
      </c>
      <c r="N298">
        <v>80906</v>
      </c>
      <c r="O298" t="s">
        <v>43</v>
      </c>
      <c r="P298" t="s">
        <v>1090</v>
      </c>
      <c r="Q298" t="s">
        <v>45</v>
      </c>
      <c r="R298" t="s">
        <v>74</v>
      </c>
      <c r="S298" t="s">
        <v>1091</v>
      </c>
      <c r="T298">
        <v>78.599999999999994</v>
      </c>
      <c r="U298">
        <v>5</v>
      </c>
      <c r="V298">
        <v>0.7</v>
      </c>
      <c r="W298">
        <v>-62.88</v>
      </c>
    </row>
    <row r="299" spans="1:23" x14ac:dyDescent="0.35">
      <c r="A299" s="1">
        <v>298</v>
      </c>
      <c r="B299" t="s">
        <v>1080</v>
      </c>
      <c r="C299" s="2">
        <v>41999</v>
      </c>
      <c r="D299" s="2">
        <v>42001</v>
      </c>
      <c r="E299" s="2" t="str">
        <f t="shared" si="4"/>
        <v>Dec</v>
      </c>
      <c r="F299" s="5">
        <f>YEAR(Table1[[#This Row],[Order Date]])</f>
        <v>2014</v>
      </c>
      <c r="G299" t="s">
        <v>187</v>
      </c>
      <c r="H299" t="s">
        <v>1081</v>
      </c>
      <c r="I299" t="s">
        <v>1082</v>
      </c>
      <c r="J299" t="s">
        <v>40</v>
      </c>
      <c r="K299" t="s">
        <v>26</v>
      </c>
      <c r="L299" t="s">
        <v>1083</v>
      </c>
      <c r="M299" t="s">
        <v>456</v>
      </c>
      <c r="N299">
        <v>80906</v>
      </c>
      <c r="O299" t="s">
        <v>43</v>
      </c>
      <c r="P299" t="s">
        <v>1092</v>
      </c>
      <c r="Q299" t="s">
        <v>45</v>
      </c>
      <c r="R299" t="s">
        <v>268</v>
      </c>
      <c r="S299" t="s">
        <v>1093</v>
      </c>
      <c r="T299">
        <v>27.552</v>
      </c>
      <c r="U299">
        <v>3</v>
      </c>
      <c r="V299">
        <v>0.2</v>
      </c>
      <c r="W299">
        <v>9.2988</v>
      </c>
    </row>
    <row r="300" spans="1:23" x14ac:dyDescent="0.35">
      <c r="A300" s="1">
        <v>299</v>
      </c>
      <c r="B300" t="s">
        <v>1094</v>
      </c>
      <c r="C300" s="2">
        <v>42671</v>
      </c>
      <c r="D300" s="2">
        <v>42677</v>
      </c>
      <c r="E300" s="2" t="str">
        <f t="shared" si="4"/>
        <v>Oct</v>
      </c>
      <c r="F300" s="5">
        <f>YEAR(Table1[[#This Row],[Order Date]])</f>
        <v>2016</v>
      </c>
      <c r="G300" t="s">
        <v>49</v>
      </c>
      <c r="H300" t="s">
        <v>581</v>
      </c>
      <c r="I300" t="s">
        <v>582</v>
      </c>
      <c r="J300" t="s">
        <v>40</v>
      </c>
      <c r="K300" t="s">
        <v>26</v>
      </c>
      <c r="L300" t="s">
        <v>1095</v>
      </c>
      <c r="M300" t="s">
        <v>789</v>
      </c>
      <c r="N300">
        <v>7109</v>
      </c>
      <c r="O300" t="s">
        <v>147</v>
      </c>
      <c r="P300" t="s">
        <v>1096</v>
      </c>
      <c r="Q300" t="s">
        <v>45</v>
      </c>
      <c r="R300" t="s">
        <v>89</v>
      </c>
      <c r="S300" t="s">
        <v>1097</v>
      </c>
      <c r="T300">
        <v>32.4</v>
      </c>
      <c r="U300">
        <v>5</v>
      </c>
      <c r="V300">
        <v>0</v>
      </c>
      <c r="W300">
        <v>15.552</v>
      </c>
    </row>
    <row r="301" spans="1:23" x14ac:dyDescent="0.35">
      <c r="A301" s="1">
        <v>300</v>
      </c>
      <c r="B301" t="s">
        <v>1094</v>
      </c>
      <c r="C301" s="2">
        <v>42671</v>
      </c>
      <c r="D301" s="2">
        <v>42677</v>
      </c>
      <c r="E301" s="2" t="str">
        <f t="shared" si="4"/>
        <v>Oct</v>
      </c>
      <c r="F301" s="5">
        <f>YEAR(Table1[[#This Row],[Order Date]])</f>
        <v>2016</v>
      </c>
      <c r="G301" t="s">
        <v>49</v>
      </c>
      <c r="H301" t="s">
        <v>581</v>
      </c>
      <c r="I301" t="s">
        <v>582</v>
      </c>
      <c r="J301" t="s">
        <v>40</v>
      </c>
      <c r="K301" t="s">
        <v>26</v>
      </c>
      <c r="L301" t="s">
        <v>1095</v>
      </c>
      <c r="M301" t="s">
        <v>789</v>
      </c>
      <c r="N301">
        <v>7109</v>
      </c>
      <c r="O301" t="s">
        <v>147</v>
      </c>
      <c r="P301" t="s">
        <v>1098</v>
      </c>
      <c r="Q301" t="s">
        <v>45</v>
      </c>
      <c r="R301" t="s">
        <v>58</v>
      </c>
      <c r="S301" t="s">
        <v>1099</v>
      </c>
      <c r="T301">
        <v>1082.48</v>
      </c>
      <c r="U301">
        <v>8</v>
      </c>
      <c r="V301">
        <v>0</v>
      </c>
      <c r="W301">
        <v>10.8248</v>
      </c>
    </row>
    <row r="302" spans="1:23" x14ac:dyDescent="0.35">
      <c r="A302" s="1">
        <v>301</v>
      </c>
      <c r="B302" t="s">
        <v>1094</v>
      </c>
      <c r="C302" s="2">
        <v>42671</v>
      </c>
      <c r="D302" s="2">
        <v>42677</v>
      </c>
      <c r="E302" s="2" t="str">
        <f t="shared" si="4"/>
        <v>Oct</v>
      </c>
      <c r="F302" s="5">
        <f>YEAR(Table1[[#This Row],[Order Date]])</f>
        <v>2016</v>
      </c>
      <c r="G302" t="s">
        <v>49</v>
      </c>
      <c r="H302" t="s">
        <v>581</v>
      </c>
      <c r="I302" t="s">
        <v>582</v>
      </c>
      <c r="J302" t="s">
        <v>40</v>
      </c>
      <c r="K302" t="s">
        <v>26</v>
      </c>
      <c r="L302" t="s">
        <v>1095</v>
      </c>
      <c r="M302" t="s">
        <v>789</v>
      </c>
      <c r="N302">
        <v>7109</v>
      </c>
      <c r="O302" t="s">
        <v>147</v>
      </c>
      <c r="P302" t="s">
        <v>1100</v>
      </c>
      <c r="Q302" t="s">
        <v>45</v>
      </c>
      <c r="R302" t="s">
        <v>89</v>
      </c>
      <c r="S302" t="s">
        <v>1101</v>
      </c>
      <c r="T302">
        <v>56.91</v>
      </c>
      <c r="U302">
        <v>3</v>
      </c>
      <c r="V302">
        <v>0</v>
      </c>
      <c r="W302">
        <v>27.316800000000001</v>
      </c>
    </row>
    <row r="303" spans="1:23" x14ac:dyDescent="0.35">
      <c r="A303" s="1">
        <v>302</v>
      </c>
      <c r="B303" t="s">
        <v>1094</v>
      </c>
      <c r="C303" s="2">
        <v>42671</v>
      </c>
      <c r="D303" s="2">
        <v>42677</v>
      </c>
      <c r="E303" s="2" t="str">
        <f t="shared" si="4"/>
        <v>Oct</v>
      </c>
      <c r="F303" s="5">
        <f>YEAR(Table1[[#This Row],[Order Date]])</f>
        <v>2016</v>
      </c>
      <c r="G303" t="s">
        <v>49</v>
      </c>
      <c r="H303" t="s">
        <v>581</v>
      </c>
      <c r="I303" t="s">
        <v>582</v>
      </c>
      <c r="J303" t="s">
        <v>40</v>
      </c>
      <c r="K303" t="s">
        <v>26</v>
      </c>
      <c r="L303" t="s">
        <v>1095</v>
      </c>
      <c r="M303" t="s">
        <v>789</v>
      </c>
      <c r="N303">
        <v>7109</v>
      </c>
      <c r="O303" t="s">
        <v>147</v>
      </c>
      <c r="P303" t="s">
        <v>1102</v>
      </c>
      <c r="Q303" t="s">
        <v>31</v>
      </c>
      <c r="R303" t="s">
        <v>64</v>
      </c>
      <c r="S303" t="s">
        <v>1103</v>
      </c>
      <c r="T303">
        <v>77.599999999999994</v>
      </c>
      <c r="U303">
        <v>4</v>
      </c>
      <c r="V303">
        <v>0</v>
      </c>
      <c r="W303">
        <v>38.024000000000001</v>
      </c>
    </row>
    <row r="304" spans="1:23" x14ac:dyDescent="0.35">
      <c r="A304" s="1">
        <v>303</v>
      </c>
      <c r="B304" t="s">
        <v>1094</v>
      </c>
      <c r="C304" s="2">
        <v>42671</v>
      </c>
      <c r="D304" s="2">
        <v>42677</v>
      </c>
      <c r="E304" s="2" t="str">
        <f t="shared" si="4"/>
        <v>Oct</v>
      </c>
      <c r="F304" s="5">
        <f>YEAR(Table1[[#This Row],[Order Date]])</f>
        <v>2016</v>
      </c>
      <c r="G304" t="s">
        <v>49</v>
      </c>
      <c r="H304" t="s">
        <v>581</v>
      </c>
      <c r="I304" t="s">
        <v>582</v>
      </c>
      <c r="J304" t="s">
        <v>40</v>
      </c>
      <c r="K304" t="s">
        <v>26</v>
      </c>
      <c r="L304" t="s">
        <v>1095</v>
      </c>
      <c r="M304" t="s">
        <v>789</v>
      </c>
      <c r="N304">
        <v>7109</v>
      </c>
      <c r="O304" t="s">
        <v>147</v>
      </c>
      <c r="P304" t="s">
        <v>1104</v>
      </c>
      <c r="Q304" t="s">
        <v>45</v>
      </c>
      <c r="R304" t="s">
        <v>74</v>
      </c>
      <c r="S304" t="s">
        <v>1105</v>
      </c>
      <c r="T304">
        <v>14.28</v>
      </c>
      <c r="U304">
        <v>1</v>
      </c>
      <c r="V304">
        <v>0</v>
      </c>
      <c r="W304">
        <v>6.5688000000000004</v>
      </c>
    </row>
    <row r="305" spans="1:23" x14ac:dyDescent="0.35">
      <c r="A305" s="1">
        <v>304</v>
      </c>
      <c r="B305" t="s">
        <v>1106</v>
      </c>
      <c r="C305" s="2">
        <v>43058</v>
      </c>
      <c r="D305" s="2">
        <v>43062</v>
      </c>
      <c r="E305" s="2" t="str">
        <f t="shared" si="4"/>
        <v>Nov</v>
      </c>
      <c r="F305" s="5">
        <f>YEAR(Table1[[#This Row],[Order Date]])</f>
        <v>2017</v>
      </c>
      <c r="G305" t="s">
        <v>49</v>
      </c>
      <c r="H305" t="s">
        <v>860</v>
      </c>
      <c r="I305" t="s">
        <v>861</v>
      </c>
      <c r="J305" t="s">
        <v>25</v>
      </c>
      <c r="K305" t="s">
        <v>26</v>
      </c>
      <c r="L305" t="s">
        <v>302</v>
      </c>
      <c r="M305" t="s">
        <v>210</v>
      </c>
      <c r="N305">
        <v>60623</v>
      </c>
      <c r="O305" t="s">
        <v>104</v>
      </c>
      <c r="P305" t="s">
        <v>1107</v>
      </c>
      <c r="Q305" t="s">
        <v>31</v>
      </c>
      <c r="R305" t="s">
        <v>55</v>
      </c>
      <c r="S305" t="s">
        <v>1108</v>
      </c>
      <c r="T305">
        <v>219.07499999999999</v>
      </c>
      <c r="U305">
        <v>3</v>
      </c>
      <c r="V305">
        <v>0.5</v>
      </c>
      <c r="W305">
        <v>-131.44499999999999</v>
      </c>
    </row>
    <row r="306" spans="1:23" x14ac:dyDescent="0.35">
      <c r="A306" s="1">
        <v>305</v>
      </c>
      <c r="B306" t="s">
        <v>1109</v>
      </c>
      <c r="C306" s="2">
        <v>42128</v>
      </c>
      <c r="D306" s="2">
        <v>42133</v>
      </c>
      <c r="E306" s="2" t="str">
        <f t="shared" si="4"/>
        <v>May</v>
      </c>
      <c r="F306" s="5">
        <f>YEAR(Table1[[#This Row],[Order Date]])</f>
        <v>2015</v>
      </c>
      <c r="G306" t="s">
        <v>22</v>
      </c>
      <c r="H306" t="s">
        <v>1110</v>
      </c>
      <c r="I306" t="s">
        <v>1111</v>
      </c>
      <c r="J306" t="s">
        <v>40</v>
      </c>
      <c r="K306" t="s">
        <v>26</v>
      </c>
      <c r="L306" t="s">
        <v>265</v>
      </c>
      <c r="M306" t="s">
        <v>266</v>
      </c>
      <c r="N306">
        <v>10024</v>
      </c>
      <c r="O306" t="s">
        <v>147</v>
      </c>
      <c r="P306" t="s">
        <v>1112</v>
      </c>
      <c r="Q306" t="s">
        <v>31</v>
      </c>
      <c r="R306" t="s">
        <v>64</v>
      </c>
      <c r="S306" t="s">
        <v>1113</v>
      </c>
      <c r="T306">
        <v>26.8</v>
      </c>
      <c r="U306">
        <v>2</v>
      </c>
      <c r="V306">
        <v>0</v>
      </c>
      <c r="W306">
        <v>12.864000000000001</v>
      </c>
    </row>
    <row r="307" spans="1:23" x14ac:dyDescent="0.35">
      <c r="A307" s="1">
        <v>306</v>
      </c>
      <c r="B307" t="s">
        <v>1114</v>
      </c>
      <c r="C307" s="2">
        <v>42003</v>
      </c>
      <c r="D307" s="2">
        <v>42008</v>
      </c>
      <c r="E307" s="2" t="str">
        <f t="shared" si="4"/>
        <v>Dec</v>
      </c>
      <c r="F307" s="5">
        <f>YEAR(Table1[[#This Row],[Order Date]])</f>
        <v>2014</v>
      </c>
      <c r="G307" t="s">
        <v>49</v>
      </c>
      <c r="H307" t="s">
        <v>342</v>
      </c>
      <c r="I307" t="s">
        <v>343</v>
      </c>
      <c r="J307" t="s">
        <v>40</v>
      </c>
      <c r="K307" t="s">
        <v>26</v>
      </c>
      <c r="L307" t="s">
        <v>1115</v>
      </c>
      <c r="M307" t="s">
        <v>237</v>
      </c>
      <c r="N307">
        <v>48180</v>
      </c>
      <c r="O307" t="s">
        <v>104</v>
      </c>
      <c r="P307" t="s">
        <v>1116</v>
      </c>
      <c r="Q307" t="s">
        <v>45</v>
      </c>
      <c r="R307" t="s">
        <v>67</v>
      </c>
      <c r="S307" t="s">
        <v>1117</v>
      </c>
      <c r="T307">
        <v>9.84</v>
      </c>
      <c r="U307">
        <v>3</v>
      </c>
      <c r="V307">
        <v>0</v>
      </c>
      <c r="W307">
        <v>2.8536000000000001</v>
      </c>
    </row>
    <row r="308" spans="1:23" x14ac:dyDescent="0.35">
      <c r="A308" s="1">
        <v>307</v>
      </c>
      <c r="B308" t="s">
        <v>1118</v>
      </c>
      <c r="C308" s="2">
        <v>41791</v>
      </c>
      <c r="D308" s="2">
        <v>41796</v>
      </c>
      <c r="E308" s="2" t="str">
        <f t="shared" si="4"/>
        <v>Jun</v>
      </c>
      <c r="F308" s="5">
        <f>YEAR(Table1[[#This Row],[Order Date]])</f>
        <v>2014</v>
      </c>
      <c r="G308" t="s">
        <v>49</v>
      </c>
      <c r="H308" t="s">
        <v>1119</v>
      </c>
      <c r="I308" t="s">
        <v>1120</v>
      </c>
      <c r="J308" t="s">
        <v>101</v>
      </c>
      <c r="K308" t="s">
        <v>26</v>
      </c>
      <c r="L308" t="s">
        <v>1121</v>
      </c>
      <c r="M308" t="s">
        <v>789</v>
      </c>
      <c r="N308">
        <v>8701</v>
      </c>
      <c r="O308" t="s">
        <v>147</v>
      </c>
      <c r="P308" t="s">
        <v>1122</v>
      </c>
      <c r="Q308" t="s">
        <v>45</v>
      </c>
      <c r="R308" t="s">
        <v>74</v>
      </c>
      <c r="S308" t="s">
        <v>1123</v>
      </c>
      <c r="T308">
        <v>45.48</v>
      </c>
      <c r="U308">
        <v>3</v>
      </c>
      <c r="V308">
        <v>0</v>
      </c>
      <c r="W308">
        <v>20.9208</v>
      </c>
    </row>
    <row r="309" spans="1:23" x14ac:dyDescent="0.35">
      <c r="A309" s="1">
        <v>308</v>
      </c>
      <c r="B309" t="s">
        <v>1118</v>
      </c>
      <c r="C309" s="2">
        <v>41791</v>
      </c>
      <c r="D309" s="2">
        <v>41796</v>
      </c>
      <c r="E309" s="2" t="str">
        <f t="shared" si="4"/>
        <v>Jun</v>
      </c>
      <c r="F309" s="5">
        <f>YEAR(Table1[[#This Row],[Order Date]])</f>
        <v>2014</v>
      </c>
      <c r="G309" t="s">
        <v>49</v>
      </c>
      <c r="H309" t="s">
        <v>1119</v>
      </c>
      <c r="I309" t="s">
        <v>1120</v>
      </c>
      <c r="J309" t="s">
        <v>101</v>
      </c>
      <c r="K309" t="s">
        <v>26</v>
      </c>
      <c r="L309" t="s">
        <v>1121</v>
      </c>
      <c r="M309" t="s">
        <v>789</v>
      </c>
      <c r="N309">
        <v>8701</v>
      </c>
      <c r="O309" t="s">
        <v>147</v>
      </c>
      <c r="P309" t="s">
        <v>1124</v>
      </c>
      <c r="Q309" t="s">
        <v>45</v>
      </c>
      <c r="R309" t="s">
        <v>67</v>
      </c>
      <c r="S309" t="s">
        <v>1125</v>
      </c>
      <c r="T309">
        <v>289.2</v>
      </c>
      <c r="U309">
        <v>6</v>
      </c>
      <c r="V309">
        <v>0</v>
      </c>
      <c r="W309">
        <v>83.867999999999995</v>
      </c>
    </row>
    <row r="310" spans="1:23" x14ac:dyDescent="0.35">
      <c r="A310" s="1">
        <v>309</v>
      </c>
      <c r="B310" t="s">
        <v>1126</v>
      </c>
      <c r="C310" s="2">
        <v>42840</v>
      </c>
      <c r="D310" s="2">
        <v>42842</v>
      </c>
      <c r="E310" s="2" t="str">
        <f t="shared" si="4"/>
        <v>Apr</v>
      </c>
      <c r="F310" s="5">
        <f>YEAR(Table1[[#This Row],[Order Date]])</f>
        <v>2017</v>
      </c>
      <c r="G310" t="s">
        <v>187</v>
      </c>
      <c r="H310" t="s">
        <v>1127</v>
      </c>
      <c r="I310" t="s">
        <v>1128</v>
      </c>
      <c r="J310" t="s">
        <v>25</v>
      </c>
      <c r="K310" t="s">
        <v>26</v>
      </c>
      <c r="L310" t="s">
        <v>1129</v>
      </c>
      <c r="M310" t="s">
        <v>318</v>
      </c>
      <c r="N310">
        <v>22204</v>
      </c>
      <c r="O310" t="s">
        <v>29</v>
      </c>
      <c r="P310" t="s">
        <v>1130</v>
      </c>
      <c r="Q310" t="s">
        <v>45</v>
      </c>
      <c r="R310" t="s">
        <v>67</v>
      </c>
      <c r="S310" t="s">
        <v>1131</v>
      </c>
      <c r="T310">
        <v>4.8899999999999997</v>
      </c>
      <c r="U310">
        <v>1</v>
      </c>
      <c r="V310">
        <v>0</v>
      </c>
      <c r="W310">
        <v>2.0049000000000001</v>
      </c>
    </row>
    <row r="311" spans="1:23" x14ac:dyDescent="0.35">
      <c r="A311" s="1">
        <v>310</v>
      </c>
      <c r="B311" t="s">
        <v>1132</v>
      </c>
      <c r="C311" s="2">
        <v>42625</v>
      </c>
      <c r="D311" s="2">
        <v>42627</v>
      </c>
      <c r="E311" s="2" t="str">
        <f t="shared" si="4"/>
        <v>Sep</v>
      </c>
      <c r="F311" s="5">
        <f>YEAR(Table1[[#This Row],[Order Date]])</f>
        <v>2016</v>
      </c>
      <c r="G311" t="s">
        <v>22</v>
      </c>
      <c r="H311" t="s">
        <v>1133</v>
      </c>
      <c r="I311" t="s">
        <v>1134</v>
      </c>
      <c r="J311" t="s">
        <v>40</v>
      </c>
      <c r="K311" t="s">
        <v>26</v>
      </c>
      <c r="L311" t="s">
        <v>1135</v>
      </c>
      <c r="M311" t="s">
        <v>456</v>
      </c>
      <c r="N311">
        <v>80004</v>
      </c>
      <c r="O311" t="s">
        <v>43</v>
      </c>
      <c r="P311" t="s">
        <v>1136</v>
      </c>
      <c r="Q311" t="s">
        <v>31</v>
      </c>
      <c r="R311" t="s">
        <v>64</v>
      </c>
      <c r="S311" t="s">
        <v>1137</v>
      </c>
      <c r="T311">
        <v>15.135999999999999</v>
      </c>
      <c r="U311">
        <v>4</v>
      </c>
      <c r="V311">
        <v>0.2</v>
      </c>
      <c r="W311">
        <v>3.5948000000000002</v>
      </c>
    </row>
    <row r="312" spans="1:23" x14ac:dyDescent="0.35">
      <c r="A312" s="1">
        <v>311</v>
      </c>
      <c r="B312" t="s">
        <v>1132</v>
      </c>
      <c r="C312" s="2">
        <v>42625</v>
      </c>
      <c r="D312" s="2">
        <v>42627</v>
      </c>
      <c r="E312" s="2" t="str">
        <f t="shared" si="4"/>
        <v>Sep</v>
      </c>
      <c r="F312" s="5">
        <f>YEAR(Table1[[#This Row],[Order Date]])</f>
        <v>2016</v>
      </c>
      <c r="G312" t="s">
        <v>22</v>
      </c>
      <c r="H312" t="s">
        <v>1133</v>
      </c>
      <c r="I312" t="s">
        <v>1134</v>
      </c>
      <c r="J312" t="s">
        <v>40</v>
      </c>
      <c r="K312" t="s">
        <v>26</v>
      </c>
      <c r="L312" t="s">
        <v>1135</v>
      </c>
      <c r="M312" t="s">
        <v>456</v>
      </c>
      <c r="N312">
        <v>80004</v>
      </c>
      <c r="O312" t="s">
        <v>43</v>
      </c>
      <c r="P312" t="s">
        <v>1138</v>
      </c>
      <c r="Q312" t="s">
        <v>31</v>
      </c>
      <c r="R312" t="s">
        <v>35</v>
      </c>
      <c r="S312" t="s">
        <v>1139</v>
      </c>
      <c r="T312">
        <v>466.76799999999997</v>
      </c>
      <c r="U312">
        <v>2</v>
      </c>
      <c r="V312">
        <v>0.2</v>
      </c>
      <c r="W312">
        <v>52.511400000000002</v>
      </c>
    </row>
    <row r="313" spans="1:23" x14ac:dyDescent="0.35">
      <c r="A313" s="1">
        <v>312</v>
      </c>
      <c r="B313" t="s">
        <v>1132</v>
      </c>
      <c r="C313" s="2">
        <v>42625</v>
      </c>
      <c r="D313" s="2">
        <v>42627</v>
      </c>
      <c r="E313" s="2" t="str">
        <f t="shared" si="4"/>
        <v>Sep</v>
      </c>
      <c r="F313" s="5">
        <f>YEAR(Table1[[#This Row],[Order Date]])</f>
        <v>2016</v>
      </c>
      <c r="G313" t="s">
        <v>22</v>
      </c>
      <c r="H313" t="s">
        <v>1133</v>
      </c>
      <c r="I313" t="s">
        <v>1134</v>
      </c>
      <c r="J313" t="s">
        <v>40</v>
      </c>
      <c r="K313" t="s">
        <v>26</v>
      </c>
      <c r="L313" t="s">
        <v>1135</v>
      </c>
      <c r="M313" t="s">
        <v>456</v>
      </c>
      <c r="N313">
        <v>80004</v>
      </c>
      <c r="O313" t="s">
        <v>43</v>
      </c>
      <c r="P313" t="s">
        <v>1140</v>
      </c>
      <c r="Q313" t="s">
        <v>31</v>
      </c>
      <c r="R313" t="s">
        <v>64</v>
      </c>
      <c r="S313" t="s">
        <v>1141</v>
      </c>
      <c r="T313">
        <v>15.231999999999999</v>
      </c>
      <c r="U313">
        <v>1</v>
      </c>
      <c r="V313">
        <v>0.2</v>
      </c>
      <c r="W313">
        <v>1.7136</v>
      </c>
    </row>
    <row r="314" spans="1:23" x14ac:dyDescent="0.35">
      <c r="A314" s="1">
        <v>313</v>
      </c>
      <c r="B314" t="s">
        <v>1132</v>
      </c>
      <c r="C314" s="2">
        <v>42625</v>
      </c>
      <c r="D314" s="2">
        <v>42627</v>
      </c>
      <c r="E314" s="2" t="str">
        <f t="shared" si="4"/>
        <v>Sep</v>
      </c>
      <c r="F314" s="5">
        <f>YEAR(Table1[[#This Row],[Order Date]])</f>
        <v>2016</v>
      </c>
      <c r="G314" t="s">
        <v>22</v>
      </c>
      <c r="H314" t="s">
        <v>1133</v>
      </c>
      <c r="I314" t="s">
        <v>1134</v>
      </c>
      <c r="J314" t="s">
        <v>40</v>
      </c>
      <c r="K314" t="s">
        <v>26</v>
      </c>
      <c r="L314" t="s">
        <v>1135</v>
      </c>
      <c r="M314" t="s">
        <v>456</v>
      </c>
      <c r="N314">
        <v>80004</v>
      </c>
      <c r="O314" t="s">
        <v>43</v>
      </c>
      <c r="P314" t="s">
        <v>1142</v>
      </c>
      <c r="Q314" t="s">
        <v>45</v>
      </c>
      <c r="R314" t="s">
        <v>46</v>
      </c>
      <c r="S314" t="s">
        <v>1143</v>
      </c>
      <c r="T314">
        <v>6.2640000000000002</v>
      </c>
      <c r="U314">
        <v>3</v>
      </c>
      <c r="V314">
        <v>0.2</v>
      </c>
      <c r="W314">
        <v>2.0358000000000001</v>
      </c>
    </row>
    <row r="315" spans="1:23" x14ac:dyDescent="0.35">
      <c r="A315" s="1">
        <v>314</v>
      </c>
      <c r="B315" t="s">
        <v>1144</v>
      </c>
      <c r="C315" s="2">
        <v>41909</v>
      </c>
      <c r="D315" s="2">
        <v>41915</v>
      </c>
      <c r="E315" s="2" t="str">
        <f t="shared" si="4"/>
        <v>Sep</v>
      </c>
      <c r="F315" s="5">
        <f>YEAR(Table1[[#This Row],[Order Date]])</f>
        <v>2014</v>
      </c>
      <c r="G315" t="s">
        <v>49</v>
      </c>
      <c r="H315" t="s">
        <v>1145</v>
      </c>
      <c r="I315" t="s">
        <v>1146</v>
      </c>
      <c r="J315" t="s">
        <v>40</v>
      </c>
      <c r="K315" t="s">
        <v>26</v>
      </c>
      <c r="L315" t="s">
        <v>1147</v>
      </c>
      <c r="M315" t="s">
        <v>789</v>
      </c>
      <c r="N315">
        <v>7601</v>
      </c>
      <c r="O315" t="s">
        <v>147</v>
      </c>
      <c r="P315" t="s">
        <v>1148</v>
      </c>
      <c r="Q315" t="s">
        <v>31</v>
      </c>
      <c r="R315" t="s">
        <v>64</v>
      </c>
      <c r="S315" t="s">
        <v>1149</v>
      </c>
      <c r="T315">
        <v>87.54</v>
      </c>
      <c r="U315">
        <v>3</v>
      </c>
      <c r="V315">
        <v>0</v>
      </c>
      <c r="W315">
        <v>37.642200000000003</v>
      </c>
    </row>
    <row r="316" spans="1:23" x14ac:dyDescent="0.35">
      <c r="A316" s="1">
        <v>315</v>
      </c>
      <c r="B316" t="s">
        <v>1150</v>
      </c>
      <c r="C316" s="2">
        <v>41860</v>
      </c>
      <c r="D316" s="2">
        <v>41867</v>
      </c>
      <c r="E316" s="2" t="str">
        <f t="shared" si="4"/>
        <v>Aug</v>
      </c>
      <c r="F316" s="5">
        <f>YEAR(Table1[[#This Row],[Order Date]])</f>
        <v>2014</v>
      </c>
      <c r="G316" t="s">
        <v>49</v>
      </c>
      <c r="H316" t="s">
        <v>1151</v>
      </c>
      <c r="I316" t="s">
        <v>1152</v>
      </c>
      <c r="J316" t="s">
        <v>40</v>
      </c>
      <c r="K316" t="s">
        <v>26</v>
      </c>
      <c r="L316" t="s">
        <v>1153</v>
      </c>
      <c r="M316" t="s">
        <v>53</v>
      </c>
      <c r="N316">
        <v>33710</v>
      </c>
      <c r="O316" t="s">
        <v>29</v>
      </c>
      <c r="P316" t="s">
        <v>1154</v>
      </c>
      <c r="Q316" t="s">
        <v>70</v>
      </c>
      <c r="R316" t="s">
        <v>71</v>
      </c>
      <c r="S316" t="s">
        <v>1155</v>
      </c>
      <c r="T316">
        <v>178.38399999999999</v>
      </c>
      <c r="U316">
        <v>2</v>
      </c>
      <c r="V316">
        <v>0.2</v>
      </c>
      <c r="W316">
        <v>22.297999999999998</v>
      </c>
    </row>
    <row r="317" spans="1:23" x14ac:dyDescent="0.35">
      <c r="A317" s="1">
        <v>316</v>
      </c>
      <c r="B317" t="s">
        <v>1150</v>
      </c>
      <c r="C317" s="2">
        <v>41860</v>
      </c>
      <c r="D317" s="2">
        <v>41867</v>
      </c>
      <c r="E317" s="2" t="str">
        <f t="shared" si="4"/>
        <v>Aug</v>
      </c>
      <c r="F317" s="5">
        <f>YEAR(Table1[[#This Row],[Order Date]])</f>
        <v>2014</v>
      </c>
      <c r="G317" t="s">
        <v>49</v>
      </c>
      <c r="H317" t="s">
        <v>1151</v>
      </c>
      <c r="I317" t="s">
        <v>1152</v>
      </c>
      <c r="J317" t="s">
        <v>40</v>
      </c>
      <c r="K317" t="s">
        <v>26</v>
      </c>
      <c r="L317" t="s">
        <v>1153</v>
      </c>
      <c r="M317" t="s">
        <v>53</v>
      </c>
      <c r="N317">
        <v>33710</v>
      </c>
      <c r="O317" t="s">
        <v>29</v>
      </c>
      <c r="P317" t="s">
        <v>1156</v>
      </c>
      <c r="Q317" t="s">
        <v>45</v>
      </c>
      <c r="R317" t="s">
        <v>89</v>
      </c>
      <c r="S317" t="s">
        <v>1157</v>
      </c>
      <c r="T317">
        <v>15.552</v>
      </c>
      <c r="U317">
        <v>3</v>
      </c>
      <c r="V317">
        <v>0.2</v>
      </c>
      <c r="W317">
        <v>5.4432</v>
      </c>
    </row>
    <row r="318" spans="1:23" x14ac:dyDescent="0.35">
      <c r="A318" s="1">
        <v>317</v>
      </c>
      <c r="B318" t="s">
        <v>1158</v>
      </c>
      <c r="C318" s="2">
        <v>42001</v>
      </c>
      <c r="D318" s="2">
        <v>42003</v>
      </c>
      <c r="E318" s="2" t="str">
        <f t="shared" si="4"/>
        <v>Dec</v>
      </c>
      <c r="F318" s="5">
        <f>YEAR(Table1[[#This Row],[Order Date]])</f>
        <v>2014</v>
      </c>
      <c r="G318" t="s">
        <v>187</v>
      </c>
      <c r="H318" t="s">
        <v>1159</v>
      </c>
      <c r="I318" t="s">
        <v>1160</v>
      </c>
      <c r="J318" t="s">
        <v>40</v>
      </c>
      <c r="K318" t="s">
        <v>26</v>
      </c>
      <c r="L318" t="s">
        <v>145</v>
      </c>
      <c r="M318" t="s">
        <v>146</v>
      </c>
      <c r="N318">
        <v>19143</v>
      </c>
      <c r="O318" t="s">
        <v>147</v>
      </c>
      <c r="P318" t="s">
        <v>1161</v>
      </c>
      <c r="Q318" t="s">
        <v>45</v>
      </c>
      <c r="R318" t="s">
        <v>67</v>
      </c>
      <c r="S318" t="s">
        <v>1162</v>
      </c>
      <c r="T318">
        <v>99.135999999999996</v>
      </c>
      <c r="U318">
        <v>4</v>
      </c>
      <c r="V318">
        <v>0.2</v>
      </c>
      <c r="W318">
        <v>8.6744000000000003</v>
      </c>
    </row>
    <row r="319" spans="1:23" x14ac:dyDescent="0.35">
      <c r="A319" s="1">
        <v>318</v>
      </c>
      <c r="B319" t="s">
        <v>1163</v>
      </c>
      <c r="C319" s="2">
        <v>41947</v>
      </c>
      <c r="D319" s="2">
        <v>41952</v>
      </c>
      <c r="E319" s="2" t="str">
        <f t="shared" si="4"/>
        <v>Nov</v>
      </c>
      <c r="F319" s="5">
        <f>YEAR(Table1[[#This Row],[Order Date]])</f>
        <v>2014</v>
      </c>
      <c r="G319" t="s">
        <v>49</v>
      </c>
      <c r="H319" t="s">
        <v>1164</v>
      </c>
      <c r="I319" t="s">
        <v>1165</v>
      </c>
      <c r="J319" t="s">
        <v>101</v>
      </c>
      <c r="K319" t="s">
        <v>26</v>
      </c>
      <c r="L319" t="s">
        <v>265</v>
      </c>
      <c r="M319" t="s">
        <v>266</v>
      </c>
      <c r="N319">
        <v>10024</v>
      </c>
      <c r="O319" t="s">
        <v>147</v>
      </c>
      <c r="P319" t="s">
        <v>1166</v>
      </c>
      <c r="Q319" t="s">
        <v>31</v>
      </c>
      <c r="R319" t="s">
        <v>35</v>
      </c>
      <c r="S319" t="s">
        <v>1167</v>
      </c>
      <c r="T319">
        <v>135.88200000000001</v>
      </c>
      <c r="U319">
        <v>1</v>
      </c>
      <c r="V319">
        <v>0.1</v>
      </c>
      <c r="W319">
        <v>24.1568</v>
      </c>
    </row>
    <row r="320" spans="1:23" x14ac:dyDescent="0.35">
      <c r="A320" s="1">
        <v>319</v>
      </c>
      <c r="B320" t="s">
        <v>1163</v>
      </c>
      <c r="C320" s="2">
        <v>41947</v>
      </c>
      <c r="D320" s="2">
        <v>41952</v>
      </c>
      <c r="E320" s="2" t="str">
        <f t="shared" si="4"/>
        <v>Nov</v>
      </c>
      <c r="F320" s="5">
        <f>YEAR(Table1[[#This Row],[Order Date]])</f>
        <v>2014</v>
      </c>
      <c r="G320" t="s">
        <v>49</v>
      </c>
      <c r="H320" t="s">
        <v>1164</v>
      </c>
      <c r="I320" t="s">
        <v>1165</v>
      </c>
      <c r="J320" t="s">
        <v>101</v>
      </c>
      <c r="K320" t="s">
        <v>26</v>
      </c>
      <c r="L320" t="s">
        <v>265</v>
      </c>
      <c r="M320" t="s">
        <v>266</v>
      </c>
      <c r="N320">
        <v>10024</v>
      </c>
      <c r="O320" t="s">
        <v>147</v>
      </c>
      <c r="P320" t="s">
        <v>1168</v>
      </c>
      <c r="Q320" t="s">
        <v>70</v>
      </c>
      <c r="R320" t="s">
        <v>683</v>
      </c>
      <c r="S320" t="s">
        <v>1169</v>
      </c>
      <c r="T320">
        <v>3991.98</v>
      </c>
      <c r="U320">
        <v>2</v>
      </c>
      <c r="V320">
        <v>0</v>
      </c>
      <c r="W320">
        <v>1995.99</v>
      </c>
    </row>
    <row r="321" spans="1:23" x14ac:dyDescent="0.35">
      <c r="A321" s="1">
        <v>320</v>
      </c>
      <c r="B321" t="s">
        <v>1163</v>
      </c>
      <c r="C321" s="2">
        <v>41947</v>
      </c>
      <c r="D321" s="2">
        <v>41952</v>
      </c>
      <c r="E321" s="2" t="str">
        <f t="shared" si="4"/>
        <v>Nov</v>
      </c>
      <c r="F321" s="5">
        <f>YEAR(Table1[[#This Row],[Order Date]])</f>
        <v>2014</v>
      </c>
      <c r="G321" t="s">
        <v>49</v>
      </c>
      <c r="H321" t="s">
        <v>1164</v>
      </c>
      <c r="I321" t="s">
        <v>1165</v>
      </c>
      <c r="J321" t="s">
        <v>101</v>
      </c>
      <c r="K321" t="s">
        <v>26</v>
      </c>
      <c r="L321" t="s">
        <v>265</v>
      </c>
      <c r="M321" t="s">
        <v>266</v>
      </c>
      <c r="N321">
        <v>10024</v>
      </c>
      <c r="O321" t="s">
        <v>147</v>
      </c>
      <c r="P321" t="s">
        <v>211</v>
      </c>
      <c r="Q321" t="s">
        <v>70</v>
      </c>
      <c r="R321" t="s">
        <v>71</v>
      </c>
      <c r="S321" t="s">
        <v>212</v>
      </c>
      <c r="T321">
        <v>275.94</v>
      </c>
      <c r="U321">
        <v>6</v>
      </c>
      <c r="V321">
        <v>0</v>
      </c>
      <c r="W321">
        <v>80.022599999999997</v>
      </c>
    </row>
    <row r="322" spans="1:23" x14ac:dyDescent="0.35">
      <c r="A322" s="1">
        <v>321</v>
      </c>
      <c r="B322" t="s">
        <v>1163</v>
      </c>
      <c r="C322" s="2">
        <v>41947</v>
      </c>
      <c r="D322" s="2">
        <v>41952</v>
      </c>
      <c r="E322" s="2" t="str">
        <f t="shared" ref="E322:E385" si="5">TEXT(C322,"mmm")</f>
        <v>Nov</v>
      </c>
      <c r="F322" s="5">
        <f>YEAR(Table1[[#This Row],[Order Date]])</f>
        <v>2014</v>
      </c>
      <c r="G322" t="s">
        <v>49</v>
      </c>
      <c r="H322" t="s">
        <v>1164</v>
      </c>
      <c r="I322" t="s">
        <v>1165</v>
      </c>
      <c r="J322" t="s">
        <v>101</v>
      </c>
      <c r="K322" t="s">
        <v>26</v>
      </c>
      <c r="L322" t="s">
        <v>265</v>
      </c>
      <c r="M322" t="s">
        <v>266</v>
      </c>
      <c r="N322">
        <v>10024</v>
      </c>
      <c r="O322" t="s">
        <v>147</v>
      </c>
      <c r="P322" t="s">
        <v>1170</v>
      </c>
      <c r="Q322" t="s">
        <v>70</v>
      </c>
      <c r="R322" t="s">
        <v>160</v>
      </c>
      <c r="S322" t="s">
        <v>1171</v>
      </c>
      <c r="T322">
        <v>360</v>
      </c>
      <c r="U322">
        <v>4</v>
      </c>
      <c r="V322">
        <v>0</v>
      </c>
      <c r="W322">
        <v>129.6</v>
      </c>
    </row>
    <row r="323" spans="1:23" x14ac:dyDescent="0.35">
      <c r="A323" s="1">
        <v>322</v>
      </c>
      <c r="B323" t="s">
        <v>1163</v>
      </c>
      <c r="C323" s="2">
        <v>41947</v>
      </c>
      <c r="D323" s="2">
        <v>41952</v>
      </c>
      <c r="E323" s="2" t="str">
        <f t="shared" si="5"/>
        <v>Nov</v>
      </c>
      <c r="F323" s="5">
        <f>YEAR(Table1[[#This Row],[Order Date]])</f>
        <v>2014</v>
      </c>
      <c r="G323" t="s">
        <v>49</v>
      </c>
      <c r="H323" t="s">
        <v>1164</v>
      </c>
      <c r="I323" t="s">
        <v>1165</v>
      </c>
      <c r="J323" t="s">
        <v>101</v>
      </c>
      <c r="K323" t="s">
        <v>26</v>
      </c>
      <c r="L323" t="s">
        <v>265</v>
      </c>
      <c r="M323" t="s">
        <v>266</v>
      </c>
      <c r="N323">
        <v>10024</v>
      </c>
      <c r="O323" t="s">
        <v>147</v>
      </c>
      <c r="P323" t="s">
        <v>546</v>
      </c>
      <c r="Q323" t="s">
        <v>45</v>
      </c>
      <c r="R323" t="s">
        <v>58</v>
      </c>
      <c r="S323" t="s">
        <v>547</v>
      </c>
      <c r="T323">
        <v>43.57</v>
      </c>
      <c r="U323">
        <v>1</v>
      </c>
      <c r="V323">
        <v>0</v>
      </c>
      <c r="W323">
        <v>13.071</v>
      </c>
    </row>
    <row r="324" spans="1:23" x14ac:dyDescent="0.35">
      <c r="A324" s="1">
        <v>323</v>
      </c>
      <c r="B324" t="s">
        <v>1172</v>
      </c>
      <c r="C324" s="2">
        <v>41901</v>
      </c>
      <c r="D324" s="2">
        <v>41906</v>
      </c>
      <c r="E324" s="2" t="str">
        <f t="shared" si="5"/>
        <v>Sep</v>
      </c>
      <c r="F324" s="5">
        <f>YEAR(Table1[[#This Row],[Order Date]])</f>
        <v>2014</v>
      </c>
      <c r="G324" t="s">
        <v>49</v>
      </c>
      <c r="H324" t="s">
        <v>1173</v>
      </c>
      <c r="I324" t="s">
        <v>1174</v>
      </c>
      <c r="J324" t="s">
        <v>40</v>
      </c>
      <c r="K324" t="s">
        <v>26</v>
      </c>
      <c r="L324" t="s">
        <v>1175</v>
      </c>
      <c r="M324" t="s">
        <v>42</v>
      </c>
      <c r="N324">
        <v>90805</v>
      </c>
      <c r="O324" t="s">
        <v>43</v>
      </c>
      <c r="P324" t="s">
        <v>1176</v>
      </c>
      <c r="Q324" t="s">
        <v>45</v>
      </c>
      <c r="R324" t="s">
        <v>268</v>
      </c>
      <c r="S324" t="s">
        <v>1177</v>
      </c>
      <c r="T324">
        <v>7.16</v>
      </c>
      <c r="U324">
        <v>2</v>
      </c>
      <c r="V324">
        <v>0</v>
      </c>
      <c r="W324">
        <v>3.58</v>
      </c>
    </row>
    <row r="325" spans="1:23" x14ac:dyDescent="0.35">
      <c r="A325" s="1">
        <v>324</v>
      </c>
      <c r="B325" t="s">
        <v>1178</v>
      </c>
      <c r="C325" s="2">
        <v>42483</v>
      </c>
      <c r="D325" s="2">
        <v>42487</v>
      </c>
      <c r="E325" s="2" t="str">
        <f t="shared" si="5"/>
        <v>Apr</v>
      </c>
      <c r="F325" s="5">
        <f>YEAR(Table1[[#This Row],[Order Date]])</f>
        <v>2016</v>
      </c>
      <c r="G325" t="s">
        <v>49</v>
      </c>
      <c r="H325" t="s">
        <v>1179</v>
      </c>
      <c r="I325" t="s">
        <v>1180</v>
      </c>
      <c r="J325" t="s">
        <v>40</v>
      </c>
      <c r="K325" t="s">
        <v>26</v>
      </c>
      <c r="L325" t="s">
        <v>1181</v>
      </c>
      <c r="M325" t="s">
        <v>42</v>
      </c>
      <c r="N325">
        <v>92345</v>
      </c>
      <c r="O325" t="s">
        <v>43</v>
      </c>
      <c r="P325" t="s">
        <v>1090</v>
      </c>
      <c r="Q325" t="s">
        <v>45</v>
      </c>
      <c r="R325" t="s">
        <v>74</v>
      </c>
      <c r="S325" t="s">
        <v>1091</v>
      </c>
      <c r="T325">
        <v>251.52</v>
      </c>
      <c r="U325">
        <v>6</v>
      </c>
      <c r="V325">
        <v>0.2</v>
      </c>
      <c r="W325">
        <v>81.744</v>
      </c>
    </row>
    <row r="326" spans="1:23" x14ac:dyDescent="0.35">
      <c r="A326" s="1">
        <v>325</v>
      </c>
      <c r="B326" t="s">
        <v>1178</v>
      </c>
      <c r="C326" s="2">
        <v>42483</v>
      </c>
      <c r="D326" s="2">
        <v>42487</v>
      </c>
      <c r="E326" s="2" t="str">
        <f t="shared" si="5"/>
        <v>Apr</v>
      </c>
      <c r="F326" s="5">
        <f>YEAR(Table1[[#This Row],[Order Date]])</f>
        <v>2016</v>
      </c>
      <c r="G326" t="s">
        <v>49</v>
      </c>
      <c r="H326" t="s">
        <v>1179</v>
      </c>
      <c r="I326" t="s">
        <v>1180</v>
      </c>
      <c r="J326" t="s">
        <v>40</v>
      </c>
      <c r="K326" t="s">
        <v>26</v>
      </c>
      <c r="L326" t="s">
        <v>1181</v>
      </c>
      <c r="M326" t="s">
        <v>42</v>
      </c>
      <c r="N326">
        <v>92345</v>
      </c>
      <c r="O326" t="s">
        <v>43</v>
      </c>
      <c r="P326" t="s">
        <v>1182</v>
      </c>
      <c r="Q326" t="s">
        <v>70</v>
      </c>
      <c r="R326" t="s">
        <v>160</v>
      </c>
      <c r="S326" t="s">
        <v>1183</v>
      </c>
      <c r="T326">
        <v>99.99</v>
      </c>
      <c r="U326">
        <v>1</v>
      </c>
      <c r="V326">
        <v>0</v>
      </c>
      <c r="W326">
        <v>34.996499999999997</v>
      </c>
    </row>
    <row r="327" spans="1:23" x14ac:dyDescent="0.35">
      <c r="A327" s="1">
        <v>326</v>
      </c>
      <c r="B327" t="s">
        <v>1184</v>
      </c>
      <c r="C327" s="2">
        <v>43042</v>
      </c>
      <c r="D327" s="2">
        <v>43044</v>
      </c>
      <c r="E327" s="2" t="str">
        <f t="shared" si="5"/>
        <v>Nov</v>
      </c>
      <c r="F327" s="5">
        <f>YEAR(Table1[[#This Row],[Order Date]])</f>
        <v>2017</v>
      </c>
      <c r="G327" t="s">
        <v>22</v>
      </c>
      <c r="H327" t="s">
        <v>1185</v>
      </c>
      <c r="I327" t="s">
        <v>1186</v>
      </c>
      <c r="J327" t="s">
        <v>40</v>
      </c>
      <c r="K327" t="s">
        <v>26</v>
      </c>
      <c r="L327" t="s">
        <v>1187</v>
      </c>
      <c r="M327" t="s">
        <v>334</v>
      </c>
      <c r="N327">
        <v>37130</v>
      </c>
      <c r="O327" t="s">
        <v>29</v>
      </c>
      <c r="P327" t="s">
        <v>1188</v>
      </c>
      <c r="Q327" t="s">
        <v>31</v>
      </c>
      <c r="R327" t="s">
        <v>64</v>
      </c>
      <c r="S327" t="s">
        <v>1189</v>
      </c>
      <c r="T327">
        <v>15.992000000000001</v>
      </c>
      <c r="U327">
        <v>1</v>
      </c>
      <c r="V327">
        <v>0.2</v>
      </c>
      <c r="W327">
        <v>0.99950000000000006</v>
      </c>
    </row>
    <row r="328" spans="1:23" x14ac:dyDescent="0.35">
      <c r="A328" s="1">
        <v>327</v>
      </c>
      <c r="B328" t="s">
        <v>1190</v>
      </c>
      <c r="C328" s="2">
        <v>42612</v>
      </c>
      <c r="D328" s="2">
        <v>42614</v>
      </c>
      <c r="E328" s="2" t="str">
        <f t="shared" si="5"/>
        <v>Aug</v>
      </c>
      <c r="F328" s="5">
        <f>YEAR(Table1[[#This Row],[Order Date]])</f>
        <v>2016</v>
      </c>
      <c r="G328" t="s">
        <v>187</v>
      </c>
      <c r="H328" t="s">
        <v>1191</v>
      </c>
      <c r="I328" t="s">
        <v>1192</v>
      </c>
      <c r="J328" t="s">
        <v>25</v>
      </c>
      <c r="K328" t="s">
        <v>26</v>
      </c>
      <c r="L328" t="s">
        <v>145</v>
      </c>
      <c r="M328" t="s">
        <v>146</v>
      </c>
      <c r="N328">
        <v>19143</v>
      </c>
      <c r="O328" t="s">
        <v>147</v>
      </c>
      <c r="P328" t="s">
        <v>1193</v>
      </c>
      <c r="Q328" t="s">
        <v>70</v>
      </c>
      <c r="R328" t="s">
        <v>71</v>
      </c>
      <c r="S328" t="s">
        <v>1194</v>
      </c>
      <c r="T328">
        <v>290.89800000000002</v>
      </c>
      <c r="U328">
        <v>3</v>
      </c>
      <c r="V328">
        <v>0.4</v>
      </c>
      <c r="W328">
        <v>-67.876199999999997</v>
      </c>
    </row>
    <row r="329" spans="1:23" x14ac:dyDescent="0.35">
      <c r="A329" s="1">
        <v>328</v>
      </c>
      <c r="B329" t="s">
        <v>1190</v>
      </c>
      <c r="C329" s="2">
        <v>42612</v>
      </c>
      <c r="D329" s="2">
        <v>42614</v>
      </c>
      <c r="E329" s="2" t="str">
        <f t="shared" si="5"/>
        <v>Aug</v>
      </c>
      <c r="F329" s="5">
        <f>YEAR(Table1[[#This Row],[Order Date]])</f>
        <v>2016</v>
      </c>
      <c r="G329" t="s">
        <v>187</v>
      </c>
      <c r="H329" t="s">
        <v>1191</v>
      </c>
      <c r="I329" t="s">
        <v>1192</v>
      </c>
      <c r="J329" t="s">
        <v>25</v>
      </c>
      <c r="K329" t="s">
        <v>26</v>
      </c>
      <c r="L329" t="s">
        <v>145</v>
      </c>
      <c r="M329" t="s">
        <v>146</v>
      </c>
      <c r="N329">
        <v>19143</v>
      </c>
      <c r="O329" t="s">
        <v>147</v>
      </c>
      <c r="P329" t="s">
        <v>1195</v>
      </c>
      <c r="Q329" t="s">
        <v>45</v>
      </c>
      <c r="R329" t="s">
        <v>58</v>
      </c>
      <c r="S329" t="s">
        <v>1196</v>
      </c>
      <c r="T329">
        <v>54.223999999999997</v>
      </c>
      <c r="U329">
        <v>2</v>
      </c>
      <c r="V329">
        <v>0.2</v>
      </c>
      <c r="W329">
        <v>3.3889999999999998</v>
      </c>
    </row>
    <row r="330" spans="1:23" x14ac:dyDescent="0.35">
      <c r="A330" s="1">
        <v>329</v>
      </c>
      <c r="B330" t="s">
        <v>1190</v>
      </c>
      <c r="C330" s="2">
        <v>42612</v>
      </c>
      <c r="D330" s="2">
        <v>42614</v>
      </c>
      <c r="E330" s="2" t="str">
        <f t="shared" si="5"/>
        <v>Aug</v>
      </c>
      <c r="F330" s="5">
        <f>YEAR(Table1[[#This Row],[Order Date]])</f>
        <v>2016</v>
      </c>
      <c r="G330" t="s">
        <v>187</v>
      </c>
      <c r="H330" t="s">
        <v>1191</v>
      </c>
      <c r="I330" t="s">
        <v>1192</v>
      </c>
      <c r="J330" t="s">
        <v>25</v>
      </c>
      <c r="K330" t="s">
        <v>26</v>
      </c>
      <c r="L330" t="s">
        <v>145</v>
      </c>
      <c r="M330" t="s">
        <v>146</v>
      </c>
      <c r="N330">
        <v>19143</v>
      </c>
      <c r="O330" t="s">
        <v>147</v>
      </c>
      <c r="P330" t="s">
        <v>1197</v>
      </c>
      <c r="Q330" t="s">
        <v>31</v>
      </c>
      <c r="R330" t="s">
        <v>35</v>
      </c>
      <c r="S330" t="s">
        <v>1198</v>
      </c>
      <c r="T330">
        <v>786.74400000000003</v>
      </c>
      <c r="U330">
        <v>4</v>
      </c>
      <c r="V330">
        <v>0.3</v>
      </c>
      <c r="W330">
        <v>-258.5016</v>
      </c>
    </row>
    <row r="331" spans="1:23" x14ac:dyDescent="0.35">
      <c r="A331" s="1">
        <v>330</v>
      </c>
      <c r="B331" t="s">
        <v>1190</v>
      </c>
      <c r="C331" s="2">
        <v>42612</v>
      </c>
      <c r="D331" s="2">
        <v>42614</v>
      </c>
      <c r="E331" s="2" t="str">
        <f t="shared" si="5"/>
        <v>Aug</v>
      </c>
      <c r="F331" s="5">
        <f>YEAR(Table1[[#This Row],[Order Date]])</f>
        <v>2016</v>
      </c>
      <c r="G331" t="s">
        <v>187</v>
      </c>
      <c r="H331" t="s">
        <v>1191</v>
      </c>
      <c r="I331" t="s">
        <v>1192</v>
      </c>
      <c r="J331" t="s">
        <v>25</v>
      </c>
      <c r="K331" t="s">
        <v>26</v>
      </c>
      <c r="L331" t="s">
        <v>145</v>
      </c>
      <c r="M331" t="s">
        <v>146</v>
      </c>
      <c r="N331">
        <v>19143</v>
      </c>
      <c r="O331" t="s">
        <v>147</v>
      </c>
      <c r="P331" t="s">
        <v>1199</v>
      </c>
      <c r="Q331" t="s">
        <v>45</v>
      </c>
      <c r="R331" t="s">
        <v>46</v>
      </c>
      <c r="S331" t="s">
        <v>1200</v>
      </c>
      <c r="T331">
        <v>100.24</v>
      </c>
      <c r="U331">
        <v>10</v>
      </c>
      <c r="V331">
        <v>0.2</v>
      </c>
      <c r="W331">
        <v>33.831000000000003</v>
      </c>
    </row>
    <row r="332" spans="1:23" x14ac:dyDescent="0.35">
      <c r="A332" s="1">
        <v>331</v>
      </c>
      <c r="B332" t="s">
        <v>1190</v>
      </c>
      <c r="C332" s="2">
        <v>42612</v>
      </c>
      <c r="D332" s="2">
        <v>42614</v>
      </c>
      <c r="E332" s="2" t="str">
        <f t="shared" si="5"/>
        <v>Aug</v>
      </c>
      <c r="F332" s="5">
        <f>YEAR(Table1[[#This Row],[Order Date]])</f>
        <v>2016</v>
      </c>
      <c r="G332" t="s">
        <v>187</v>
      </c>
      <c r="H332" t="s">
        <v>1191</v>
      </c>
      <c r="I332" t="s">
        <v>1192</v>
      </c>
      <c r="J332" t="s">
        <v>25</v>
      </c>
      <c r="K332" t="s">
        <v>26</v>
      </c>
      <c r="L332" t="s">
        <v>145</v>
      </c>
      <c r="M332" t="s">
        <v>146</v>
      </c>
      <c r="N332">
        <v>19143</v>
      </c>
      <c r="O332" t="s">
        <v>147</v>
      </c>
      <c r="P332" t="s">
        <v>1201</v>
      </c>
      <c r="Q332" t="s">
        <v>45</v>
      </c>
      <c r="R332" t="s">
        <v>74</v>
      </c>
      <c r="S332" t="s">
        <v>1202</v>
      </c>
      <c r="T332">
        <v>37.764000000000003</v>
      </c>
      <c r="U332">
        <v>6</v>
      </c>
      <c r="V332">
        <v>0.7</v>
      </c>
      <c r="W332">
        <v>-27.6936</v>
      </c>
    </row>
    <row r="333" spans="1:23" x14ac:dyDescent="0.35">
      <c r="A333" s="1">
        <v>332</v>
      </c>
      <c r="B333" t="s">
        <v>1203</v>
      </c>
      <c r="C333" s="2">
        <v>42485</v>
      </c>
      <c r="D333" s="2">
        <v>42489</v>
      </c>
      <c r="E333" s="2" t="str">
        <f t="shared" si="5"/>
        <v>Apr</v>
      </c>
      <c r="F333" s="5">
        <f>YEAR(Table1[[#This Row],[Order Date]])</f>
        <v>2016</v>
      </c>
      <c r="G333" t="s">
        <v>22</v>
      </c>
      <c r="H333" t="s">
        <v>1204</v>
      </c>
      <c r="I333" t="s">
        <v>1205</v>
      </c>
      <c r="J333" t="s">
        <v>25</v>
      </c>
      <c r="K333" t="s">
        <v>26</v>
      </c>
      <c r="L333" t="s">
        <v>145</v>
      </c>
      <c r="M333" t="s">
        <v>146</v>
      </c>
      <c r="N333">
        <v>19134</v>
      </c>
      <c r="O333" t="s">
        <v>147</v>
      </c>
      <c r="P333" t="s">
        <v>1206</v>
      </c>
      <c r="Q333" t="s">
        <v>70</v>
      </c>
      <c r="R333" t="s">
        <v>71</v>
      </c>
      <c r="S333" t="s">
        <v>1207</v>
      </c>
      <c r="T333">
        <v>82.8</v>
      </c>
      <c r="U333">
        <v>2</v>
      </c>
      <c r="V333">
        <v>0.4</v>
      </c>
      <c r="W333">
        <v>-20.7</v>
      </c>
    </row>
    <row r="334" spans="1:23" x14ac:dyDescent="0.35">
      <c r="A334" s="1">
        <v>333</v>
      </c>
      <c r="B334" t="s">
        <v>1203</v>
      </c>
      <c r="C334" s="2">
        <v>42485</v>
      </c>
      <c r="D334" s="2">
        <v>42489</v>
      </c>
      <c r="E334" s="2" t="str">
        <f t="shared" si="5"/>
        <v>Apr</v>
      </c>
      <c r="F334" s="5">
        <f>YEAR(Table1[[#This Row],[Order Date]])</f>
        <v>2016</v>
      </c>
      <c r="G334" t="s">
        <v>22</v>
      </c>
      <c r="H334" t="s">
        <v>1204</v>
      </c>
      <c r="I334" t="s">
        <v>1205</v>
      </c>
      <c r="J334" t="s">
        <v>25</v>
      </c>
      <c r="K334" t="s">
        <v>26</v>
      </c>
      <c r="L334" t="s">
        <v>145</v>
      </c>
      <c r="M334" t="s">
        <v>146</v>
      </c>
      <c r="N334">
        <v>19134</v>
      </c>
      <c r="O334" t="s">
        <v>147</v>
      </c>
      <c r="P334" t="s">
        <v>1208</v>
      </c>
      <c r="Q334" t="s">
        <v>45</v>
      </c>
      <c r="R334" t="s">
        <v>74</v>
      </c>
      <c r="S334" t="s">
        <v>1209</v>
      </c>
      <c r="T334">
        <v>20.724</v>
      </c>
      <c r="U334">
        <v>2</v>
      </c>
      <c r="V334">
        <v>0.7</v>
      </c>
      <c r="W334">
        <v>-13.816000000000001</v>
      </c>
    </row>
    <row r="335" spans="1:23" x14ac:dyDescent="0.35">
      <c r="A335" s="1">
        <v>334</v>
      </c>
      <c r="B335" t="s">
        <v>1203</v>
      </c>
      <c r="C335" s="2">
        <v>42485</v>
      </c>
      <c r="D335" s="2">
        <v>42489</v>
      </c>
      <c r="E335" s="2" t="str">
        <f t="shared" si="5"/>
        <v>Apr</v>
      </c>
      <c r="F335" s="5">
        <f>YEAR(Table1[[#This Row],[Order Date]])</f>
        <v>2016</v>
      </c>
      <c r="G335" t="s">
        <v>22</v>
      </c>
      <c r="H335" t="s">
        <v>1204</v>
      </c>
      <c r="I335" t="s">
        <v>1205</v>
      </c>
      <c r="J335" t="s">
        <v>25</v>
      </c>
      <c r="K335" t="s">
        <v>26</v>
      </c>
      <c r="L335" t="s">
        <v>145</v>
      </c>
      <c r="M335" t="s">
        <v>146</v>
      </c>
      <c r="N335">
        <v>19134</v>
      </c>
      <c r="O335" t="s">
        <v>147</v>
      </c>
      <c r="P335" t="s">
        <v>1210</v>
      </c>
      <c r="Q335" t="s">
        <v>45</v>
      </c>
      <c r="R335" t="s">
        <v>74</v>
      </c>
      <c r="S335" t="s">
        <v>1211</v>
      </c>
      <c r="T335">
        <v>4.8959999999999999</v>
      </c>
      <c r="U335">
        <v>3</v>
      </c>
      <c r="V335">
        <v>0.7</v>
      </c>
      <c r="W335">
        <v>-3.4272</v>
      </c>
    </row>
    <row r="336" spans="1:23" x14ac:dyDescent="0.35">
      <c r="A336" s="1">
        <v>335</v>
      </c>
      <c r="B336" t="s">
        <v>1212</v>
      </c>
      <c r="C336" s="2">
        <v>42248</v>
      </c>
      <c r="D336" s="2">
        <v>42251</v>
      </c>
      <c r="E336" s="2" t="str">
        <f t="shared" si="5"/>
        <v>Sep</v>
      </c>
      <c r="F336" s="5">
        <f>YEAR(Table1[[#This Row],[Order Date]])</f>
        <v>2015</v>
      </c>
      <c r="G336" t="s">
        <v>22</v>
      </c>
      <c r="H336" t="s">
        <v>1213</v>
      </c>
      <c r="I336" t="s">
        <v>1214</v>
      </c>
      <c r="J336" t="s">
        <v>25</v>
      </c>
      <c r="K336" t="s">
        <v>26</v>
      </c>
      <c r="L336" t="s">
        <v>41</v>
      </c>
      <c r="M336" t="s">
        <v>42</v>
      </c>
      <c r="N336">
        <v>90045</v>
      </c>
      <c r="O336" t="s">
        <v>43</v>
      </c>
      <c r="P336" t="s">
        <v>1215</v>
      </c>
      <c r="Q336" t="s">
        <v>45</v>
      </c>
      <c r="R336" t="s">
        <v>74</v>
      </c>
      <c r="S336" t="s">
        <v>1216</v>
      </c>
      <c r="T336">
        <v>4.7519999999999998</v>
      </c>
      <c r="U336">
        <v>1</v>
      </c>
      <c r="V336">
        <v>0.2</v>
      </c>
      <c r="W336">
        <v>1.6037999999999999</v>
      </c>
    </row>
    <row r="337" spans="1:23" x14ac:dyDescent="0.35">
      <c r="A337" s="1">
        <v>336</v>
      </c>
      <c r="B337" t="s">
        <v>1212</v>
      </c>
      <c r="C337" s="2">
        <v>42248</v>
      </c>
      <c r="D337" s="2">
        <v>42251</v>
      </c>
      <c r="E337" s="2" t="str">
        <f t="shared" si="5"/>
        <v>Sep</v>
      </c>
      <c r="F337" s="5">
        <f>YEAR(Table1[[#This Row],[Order Date]])</f>
        <v>2015</v>
      </c>
      <c r="G337" t="s">
        <v>22</v>
      </c>
      <c r="H337" t="s">
        <v>1213</v>
      </c>
      <c r="I337" t="s">
        <v>1214</v>
      </c>
      <c r="J337" t="s">
        <v>25</v>
      </c>
      <c r="K337" t="s">
        <v>26</v>
      </c>
      <c r="L337" t="s">
        <v>41</v>
      </c>
      <c r="M337" t="s">
        <v>42</v>
      </c>
      <c r="N337">
        <v>90045</v>
      </c>
      <c r="O337" t="s">
        <v>43</v>
      </c>
      <c r="P337" t="s">
        <v>1217</v>
      </c>
      <c r="Q337" t="s">
        <v>70</v>
      </c>
      <c r="R337" t="s">
        <v>1218</v>
      </c>
      <c r="S337" t="s">
        <v>1219</v>
      </c>
      <c r="T337">
        <v>959.98400000000004</v>
      </c>
      <c r="U337">
        <v>2</v>
      </c>
      <c r="V337">
        <v>0.2</v>
      </c>
      <c r="W337">
        <v>335.99439999999998</v>
      </c>
    </row>
    <row r="338" spans="1:23" x14ac:dyDescent="0.35">
      <c r="A338" s="1">
        <v>337</v>
      </c>
      <c r="B338" t="s">
        <v>1212</v>
      </c>
      <c r="C338" s="2">
        <v>42248</v>
      </c>
      <c r="D338" s="2">
        <v>42251</v>
      </c>
      <c r="E338" s="2" t="str">
        <f t="shared" si="5"/>
        <v>Sep</v>
      </c>
      <c r="F338" s="5">
        <f>YEAR(Table1[[#This Row],[Order Date]])</f>
        <v>2015</v>
      </c>
      <c r="G338" t="s">
        <v>22</v>
      </c>
      <c r="H338" t="s">
        <v>1213</v>
      </c>
      <c r="I338" t="s">
        <v>1214</v>
      </c>
      <c r="J338" t="s">
        <v>25</v>
      </c>
      <c r="K338" t="s">
        <v>26</v>
      </c>
      <c r="L338" t="s">
        <v>41</v>
      </c>
      <c r="M338" t="s">
        <v>42</v>
      </c>
      <c r="N338">
        <v>90045</v>
      </c>
      <c r="O338" t="s">
        <v>43</v>
      </c>
      <c r="P338" t="s">
        <v>1220</v>
      </c>
      <c r="Q338" t="s">
        <v>45</v>
      </c>
      <c r="R338" t="s">
        <v>74</v>
      </c>
      <c r="S338" t="s">
        <v>1221</v>
      </c>
      <c r="T338">
        <v>14.368</v>
      </c>
      <c r="U338">
        <v>4</v>
      </c>
      <c r="V338">
        <v>0.2</v>
      </c>
      <c r="W338">
        <v>4.49</v>
      </c>
    </row>
    <row r="339" spans="1:23" x14ac:dyDescent="0.35">
      <c r="A339" s="1">
        <v>338</v>
      </c>
      <c r="B339" t="s">
        <v>1222</v>
      </c>
      <c r="C339" s="2">
        <v>41832</v>
      </c>
      <c r="D339" s="2">
        <v>41837</v>
      </c>
      <c r="E339" s="2" t="str">
        <f t="shared" si="5"/>
        <v>Jul</v>
      </c>
      <c r="F339" s="5">
        <f>YEAR(Table1[[#This Row],[Order Date]])</f>
        <v>2014</v>
      </c>
      <c r="G339" t="s">
        <v>49</v>
      </c>
      <c r="H339" t="s">
        <v>1223</v>
      </c>
      <c r="I339" t="s">
        <v>1224</v>
      </c>
      <c r="J339" t="s">
        <v>40</v>
      </c>
      <c r="K339" t="s">
        <v>26</v>
      </c>
      <c r="L339" t="s">
        <v>126</v>
      </c>
      <c r="M339" t="s">
        <v>42</v>
      </c>
      <c r="N339">
        <v>94122</v>
      </c>
      <c r="O339" t="s">
        <v>43</v>
      </c>
      <c r="P339" t="s">
        <v>1225</v>
      </c>
      <c r="Q339" t="s">
        <v>45</v>
      </c>
      <c r="R339" t="s">
        <v>74</v>
      </c>
      <c r="S339" t="s">
        <v>1226</v>
      </c>
      <c r="T339">
        <v>7.7119999999999997</v>
      </c>
      <c r="U339">
        <v>2</v>
      </c>
      <c r="V339">
        <v>0.2</v>
      </c>
      <c r="W339">
        <v>2.7955999999999999</v>
      </c>
    </row>
    <row r="340" spans="1:23" x14ac:dyDescent="0.35">
      <c r="A340" s="1">
        <v>339</v>
      </c>
      <c r="B340" t="s">
        <v>1222</v>
      </c>
      <c r="C340" s="2">
        <v>41832</v>
      </c>
      <c r="D340" s="2">
        <v>41837</v>
      </c>
      <c r="E340" s="2" t="str">
        <f t="shared" si="5"/>
        <v>Jul</v>
      </c>
      <c r="F340" s="5">
        <f>YEAR(Table1[[#This Row],[Order Date]])</f>
        <v>2014</v>
      </c>
      <c r="G340" t="s">
        <v>49</v>
      </c>
      <c r="H340" t="s">
        <v>1223</v>
      </c>
      <c r="I340" t="s">
        <v>1224</v>
      </c>
      <c r="J340" t="s">
        <v>40</v>
      </c>
      <c r="K340" t="s">
        <v>26</v>
      </c>
      <c r="L340" t="s">
        <v>126</v>
      </c>
      <c r="M340" t="s">
        <v>42</v>
      </c>
      <c r="N340">
        <v>94122</v>
      </c>
      <c r="O340" t="s">
        <v>43</v>
      </c>
      <c r="P340" t="s">
        <v>1227</v>
      </c>
      <c r="Q340" t="s">
        <v>31</v>
      </c>
      <c r="R340" t="s">
        <v>55</v>
      </c>
      <c r="S340" t="s">
        <v>1228</v>
      </c>
      <c r="T340">
        <v>698.35199999999998</v>
      </c>
      <c r="U340">
        <v>3</v>
      </c>
      <c r="V340">
        <v>0.2</v>
      </c>
      <c r="W340">
        <v>-17.4588</v>
      </c>
    </row>
    <row r="341" spans="1:23" x14ac:dyDescent="0.35">
      <c r="A341" s="1">
        <v>340</v>
      </c>
      <c r="B341" t="s">
        <v>1229</v>
      </c>
      <c r="C341" s="2">
        <v>42177</v>
      </c>
      <c r="D341" s="2">
        <v>42181</v>
      </c>
      <c r="E341" s="2" t="str">
        <f t="shared" si="5"/>
        <v>Jun</v>
      </c>
      <c r="F341" s="5">
        <f>YEAR(Table1[[#This Row],[Order Date]])</f>
        <v>2015</v>
      </c>
      <c r="G341" t="s">
        <v>22</v>
      </c>
      <c r="H341" t="s">
        <v>917</v>
      </c>
      <c r="I341" t="s">
        <v>918</v>
      </c>
      <c r="J341" t="s">
        <v>25</v>
      </c>
      <c r="K341" t="s">
        <v>26</v>
      </c>
      <c r="L341" t="s">
        <v>1230</v>
      </c>
      <c r="M341" t="s">
        <v>120</v>
      </c>
      <c r="N341">
        <v>84041</v>
      </c>
      <c r="O341" t="s">
        <v>43</v>
      </c>
      <c r="P341" t="s">
        <v>1231</v>
      </c>
      <c r="Q341" t="s">
        <v>45</v>
      </c>
      <c r="R341" t="s">
        <v>268</v>
      </c>
      <c r="S341" t="s">
        <v>1232</v>
      </c>
      <c r="T341">
        <v>4.96</v>
      </c>
      <c r="U341">
        <v>4</v>
      </c>
      <c r="V341">
        <v>0</v>
      </c>
      <c r="W341">
        <v>2.3311999999999999</v>
      </c>
    </row>
    <row r="342" spans="1:23" x14ac:dyDescent="0.35">
      <c r="A342" s="1">
        <v>341</v>
      </c>
      <c r="B342" t="s">
        <v>1233</v>
      </c>
      <c r="C342" s="2">
        <v>41742</v>
      </c>
      <c r="D342" s="2">
        <v>41746</v>
      </c>
      <c r="E342" s="2" t="str">
        <f t="shared" si="5"/>
        <v>Apr</v>
      </c>
      <c r="F342" s="5">
        <f>YEAR(Table1[[#This Row],[Order Date]])</f>
        <v>2014</v>
      </c>
      <c r="G342" t="s">
        <v>22</v>
      </c>
      <c r="H342" t="s">
        <v>581</v>
      </c>
      <c r="I342" t="s">
        <v>582</v>
      </c>
      <c r="J342" t="s">
        <v>40</v>
      </c>
      <c r="K342" t="s">
        <v>26</v>
      </c>
      <c r="L342" t="s">
        <v>145</v>
      </c>
      <c r="M342" t="s">
        <v>146</v>
      </c>
      <c r="N342">
        <v>19140</v>
      </c>
      <c r="O342" t="s">
        <v>147</v>
      </c>
      <c r="P342" t="s">
        <v>1234</v>
      </c>
      <c r="Q342" t="s">
        <v>45</v>
      </c>
      <c r="R342" t="s">
        <v>67</v>
      </c>
      <c r="S342" t="s">
        <v>1235</v>
      </c>
      <c r="T342">
        <v>17.856000000000002</v>
      </c>
      <c r="U342">
        <v>4</v>
      </c>
      <c r="V342">
        <v>0.2</v>
      </c>
      <c r="W342">
        <v>1.1160000000000001</v>
      </c>
    </row>
    <row r="343" spans="1:23" x14ac:dyDescent="0.35">
      <c r="A343" s="1">
        <v>342</v>
      </c>
      <c r="B343" t="s">
        <v>1233</v>
      </c>
      <c r="C343" s="2">
        <v>41742</v>
      </c>
      <c r="D343" s="2">
        <v>41746</v>
      </c>
      <c r="E343" s="2" t="str">
        <f t="shared" si="5"/>
        <v>Apr</v>
      </c>
      <c r="F343" s="5">
        <f>YEAR(Table1[[#This Row],[Order Date]])</f>
        <v>2014</v>
      </c>
      <c r="G343" t="s">
        <v>22</v>
      </c>
      <c r="H343" t="s">
        <v>581</v>
      </c>
      <c r="I343" t="s">
        <v>582</v>
      </c>
      <c r="J343" t="s">
        <v>40</v>
      </c>
      <c r="K343" t="s">
        <v>26</v>
      </c>
      <c r="L343" t="s">
        <v>145</v>
      </c>
      <c r="M343" t="s">
        <v>146</v>
      </c>
      <c r="N343">
        <v>19140</v>
      </c>
      <c r="O343" t="s">
        <v>147</v>
      </c>
      <c r="P343" t="s">
        <v>96</v>
      </c>
      <c r="Q343" t="s">
        <v>45</v>
      </c>
      <c r="R343" t="s">
        <v>74</v>
      </c>
      <c r="S343" t="s">
        <v>97</v>
      </c>
      <c r="T343">
        <v>509.97</v>
      </c>
      <c r="U343">
        <v>10</v>
      </c>
      <c r="V343">
        <v>0.7</v>
      </c>
      <c r="W343">
        <v>-407.976</v>
      </c>
    </row>
    <row r="344" spans="1:23" x14ac:dyDescent="0.35">
      <c r="A344" s="1">
        <v>343</v>
      </c>
      <c r="B344" t="s">
        <v>1233</v>
      </c>
      <c r="C344" s="2">
        <v>41742</v>
      </c>
      <c r="D344" s="2">
        <v>41746</v>
      </c>
      <c r="E344" s="2" t="str">
        <f t="shared" si="5"/>
        <v>Apr</v>
      </c>
      <c r="F344" s="5">
        <f>YEAR(Table1[[#This Row],[Order Date]])</f>
        <v>2014</v>
      </c>
      <c r="G344" t="s">
        <v>22</v>
      </c>
      <c r="H344" t="s">
        <v>581</v>
      </c>
      <c r="I344" t="s">
        <v>582</v>
      </c>
      <c r="J344" t="s">
        <v>40</v>
      </c>
      <c r="K344" t="s">
        <v>26</v>
      </c>
      <c r="L344" t="s">
        <v>145</v>
      </c>
      <c r="M344" t="s">
        <v>146</v>
      </c>
      <c r="N344">
        <v>19140</v>
      </c>
      <c r="O344" t="s">
        <v>147</v>
      </c>
      <c r="P344" t="s">
        <v>561</v>
      </c>
      <c r="Q344" t="s">
        <v>45</v>
      </c>
      <c r="R344" t="s">
        <v>268</v>
      </c>
      <c r="S344" t="s">
        <v>562</v>
      </c>
      <c r="T344">
        <v>30.992000000000001</v>
      </c>
      <c r="U344">
        <v>13</v>
      </c>
      <c r="V344">
        <v>0.2</v>
      </c>
      <c r="W344">
        <v>10.0724</v>
      </c>
    </row>
    <row r="345" spans="1:23" x14ac:dyDescent="0.35">
      <c r="A345" s="1">
        <v>344</v>
      </c>
      <c r="B345" t="s">
        <v>1233</v>
      </c>
      <c r="C345" s="2">
        <v>41742</v>
      </c>
      <c r="D345" s="2">
        <v>41746</v>
      </c>
      <c r="E345" s="2" t="str">
        <f t="shared" si="5"/>
        <v>Apr</v>
      </c>
      <c r="F345" s="5">
        <f>YEAR(Table1[[#This Row],[Order Date]])</f>
        <v>2014</v>
      </c>
      <c r="G345" t="s">
        <v>22</v>
      </c>
      <c r="H345" t="s">
        <v>581</v>
      </c>
      <c r="I345" t="s">
        <v>582</v>
      </c>
      <c r="J345" t="s">
        <v>40</v>
      </c>
      <c r="K345" t="s">
        <v>26</v>
      </c>
      <c r="L345" t="s">
        <v>145</v>
      </c>
      <c r="M345" t="s">
        <v>146</v>
      </c>
      <c r="N345">
        <v>19140</v>
      </c>
      <c r="O345" t="s">
        <v>147</v>
      </c>
      <c r="P345" t="s">
        <v>1236</v>
      </c>
      <c r="Q345" t="s">
        <v>70</v>
      </c>
      <c r="R345" t="s">
        <v>71</v>
      </c>
      <c r="S345" t="s">
        <v>1237</v>
      </c>
      <c r="T345">
        <v>71.927999999999997</v>
      </c>
      <c r="U345">
        <v>12</v>
      </c>
      <c r="V345">
        <v>0.4</v>
      </c>
      <c r="W345">
        <v>8.3916000000000004</v>
      </c>
    </row>
    <row r="346" spans="1:23" x14ac:dyDescent="0.35">
      <c r="A346" s="1">
        <v>345</v>
      </c>
      <c r="B346" t="s">
        <v>1238</v>
      </c>
      <c r="C346" s="2">
        <v>42358</v>
      </c>
      <c r="D346" s="2">
        <v>42362</v>
      </c>
      <c r="E346" s="2" t="str">
        <f t="shared" si="5"/>
        <v>Dec</v>
      </c>
      <c r="F346" s="5">
        <f>YEAR(Table1[[#This Row],[Order Date]])</f>
        <v>2015</v>
      </c>
      <c r="G346" t="s">
        <v>49</v>
      </c>
      <c r="H346" t="s">
        <v>696</v>
      </c>
      <c r="I346" t="s">
        <v>697</v>
      </c>
      <c r="J346" t="s">
        <v>25</v>
      </c>
      <c r="K346" t="s">
        <v>26</v>
      </c>
      <c r="L346" t="s">
        <v>1239</v>
      </c>
      <c r="M346" t="s">
        <v>103</v>
      </c>
      <c r="N346">
        <v>78745</v>
      </c>
      <c r="O346" t="s">
        <v>104</v>
      </c>
      <c r="P346" t="s">
        <v>121</v>
      </c>
      <c r="Q346" t="s">
        <v>45</v>
      </c>
      <c r="R346" t="s">
        <v>58</v>
      </c>
      <c r="S346" t="s">
        <v>122</v>
      </c>
      <c r="T346">
        <v>88.8</v>
      </c>
      <c r="U346">
        <v>4</v>
      </c>
      <c r="V346">
        <v>0.2</v>
      </c>
      <c r="W346">
        <v>-2.2200000000000002</v>
      </c>
    </row>
    <row r="347" spans="1:23" x14ac:dyDescent="0.35">
      <c r="A347" s="1">
        <v>346</v>
      </c>
      <c r="B347" t="s">
        <v>1240</v>
      </c>
      <c r="C347" s="2">
        <v>42901</v>
      </c>
      <c r="D347" s="2">
        <v>42905</v>
      </c>
      <c r="E347" s="2" t="str">
        <f t="shared" si="5"/>
        <v>Jun</v>
      </c>
      <c r="F347" s="5">
        <f>YEAR(Table1[[#This Row],[Order Date]])</f>
        <v>2017</v>
      </c>
      <c r="G347" t="s">
        <v>49</v>
      </c>
      <c r="H347" t="s">
        <v>1241</v>
      </c>
      <c r="I347" t="s">
        <v>1242</v>
      </c>
      <c r="J347" t="s">
        <v>25</v>
      </c>
      <c r="K347" t="s">
        <v>26</v>
      </c>
      <c r="L347" t="s">
        <v>126</v>
      </c>
      <c r="M347" t="s">
        <v>42</v>
      </c>
      <c r="N347">
        <v>94122</v>
      </c>
      <c r="O347" t="s">
        <v>43</v>
      </c>
      <c r="P347" t="s">
        <v>557</v>
      </c>
      <c r="Q347" t="s">
        <v>70</v>
      </c>
      <c r="R347" t="s">
        <v>71</v>
      </c>
      <c r="S347" t="s">
        <v>558</v>
      </c>
      <c r="T347">
        <v>47.975999999999999</v>
      </c>
      <c r="U347">
        <v>3</v>
      </c>
      <c r="V347">
        <v>0.2</v>
      </c>
      <c r="W347">
        <v>4.7976000000000001</v>
      </c>
    </row>
    <row r="348" spans="1:23" x14ac:dyDescent="0.35">
      <c r="A348" s="1">
        <v>347</v>
      </c>
      <c r="B348" t="s">
        <v>1243</v>
      </c>
      <c r="C348" s="2">
        <v>42924</v>
      </c>
      <c r="D348" s="2">
        <v>42928</v>
      </c>
      <c r="E348" s="2" t="str">
        <f t="shared" si="5"/>
        <v>Jul</v>
      </c>
      <c r="F348" s="5">
        <f>YEAR(Table1[[#This Row],[Order Date]])</f>
        <v>2017</v>
      </c>
      <c r="G348" t="s">
        <v>49</v>
      </c>
      <c r="H348" t="s">
        <v>1244</v>
      </c>
      <c r="I348" t="s">
        <v>1245</v>
      </c>
      <c r="J348" t="s">
        <v>25</v>
      </c>
      <c r="K348" t="s">
        <v>26</v>
      </c>
      <c r="L348" t="s">
        <v>1246</v>
      </c>
      <c r="M348" t="s">
        <v>1247</v>
      </c>
      <c r="N348">
        <v>1852</v>
      </c>
      <c r="O348" t="s">
        <v>147</v>
      </c>
      <c r="P348" t="s">
        <v>783</v>
      </c>
      <c r="Q348" t="s">
        <v>45</v>
      </c>
      <c r="R348" t="s">
        <v>67</v>
      </c>
      <c r="S348" t="s">
        <v>784</v>
      </c>
      <c r="T348">
        <v>7.56</v>
      </c>
      <c r="U348">
        <v>3</v>
      </c>
      <c r="V348">
        <v>0</v>
      </c>
      <c r="W348">
        <v>3.0996000000000001</v>
      </c>
    </row>
    <row r="349" spans="1:23" x14ac:dyDescent="0.35">
      <c r="A349" s="1">
        <v>348</v>
      </c>
      <c r="B349" t="s">
        <v>1243</v>
      </c>
      <c r="C349" s="2">
        <v>42924</v>
      </c>
      <c r="D349" s="2">
        <v>42928</v>
      </c>
      <c r="E349" s="2" t="str">
        <f t="shared" si="5"/>
        <v>Jul</v>
      </c>
      <c r="F349" s="5">
        <f>YEAR(Table1[[#This Row],[Order Date]])</f>
        <v>2017</v>
      </c>
      <c r="G349" t="s">
        <v>49</v>
      </c>
      <c r="H349" t="s">
        <v>1244</v>
      </c>
      <c r="I349" t="s">
        <v>1245</v>
      </c>
      <c r="J349" t="s">
        <v>25</v>
      </c>
      <c r="K349" t="s">
        <v>26</v>
      </c>
      <c r="L349" t="s">
        <v>1246</v>
      </c>
      <c r="M349" t="s">
        <v>1247</v>
      </c>
      <c r="N349">
        <v>1852</v>
      </c>
      <c r="O349" t="s">
        <v>147</v>
      </c>
      <c r="P349" t="s">
        <v>184</v>
      </c>
      <c r="Q349" t="s">
        <v>45</v>
      </c>
      <c r="R349" t="s">
        <v>89</v>
      </c>
      <c r="S349" t="s">
        <v>185</v>
      </c>
      <c r="T349">
        <v>24.56</v>
      </c>
      <c r="U349">
        <v>2</v>
      </c>
      <c r="V349">
        <v>0</v>
      </c>
      <c r="W349">
        <v>11.543200000000001</v>
      </c>
    </row>
    <row r="350" spans="1:23" x14ac:dyDescent="0.35">
      <c r="A350" s="1">
        <v>349</v>
      </c>
      <c r="B350" t="s">
        <v>1243</v>
      </c>
      <c r="C350" s="2">
        <v>42924</v>
      </c>
      <c r="D350" s="2">
        <v>42928</v>
      </c>
      <c r="E350" s="2" t="str">
        <f t="shared" si="5"/>
        <v>Jul</v>
      </c>
      <c r="F350" s="5">
        <f>YEAR(Table1[[#This Row],[Order Date]])</f>
        <v>2017</v>
      </c>
      <c r="G350" t="s">
        <v>49</v>
      </c>
      <c r="H350" t="s">
        <v>1244</v>
      </c>
      <c r="I350" t="s">
        <v>1245</v>
      </c>
      <c r="J350" t="s">
        <v>25</v>
      </c>
      <c r="K350" t="s">
        <v>26</v>
      </c>
      <c r="L350" t="s">
        <v>1246</v>
      </c>
      <c r="M350" t="s">
        <v>1247</v>
      </c>
      <c r="N350">
        <v>1852</v>
      </c>
      <c r="O350" t="s">
        <v>147</v>
      </c>
      <c r="P350" t="s">
        <v>1248</v>
      </c>
      <c r="Q350" t="s">
        <v>45</v>
      </c>
      <c r="R350" t="s">
        <v>67</v>
      </c>
      <c r="S350" t="s">
        <v>1249</v>
      </c>
      <c r="T350">
        <v>12.96</v>
      </c>
      <c r="U350">
        <v>2</v>
      </c>
      <c r="V350">
        <v>0</v>
      </c>
      <c r="W350">
        <v>4.1471999999999998</v>
      </c>
    </row>
    <row r="351" spans="1:23" x14ac:dyDescent="0.35">
      <c r="A351" s="1">
        <v>350</v>
      </c>
      <c r="B351" t="s">
        <v>1250</v>
      </c>
      <c r="C351" s="2">
        <v>42614</v>
      </c>
      <c r="D351" s="2">
        <v>42616</v>
      </c>
      <c r="E351" s="2" t="str">
        <f t="shared" si="5"/>
        <v>Sep</v>
      </c>
      <c r="F351" s="5">
        <f>YEAR(Table1[[#This Row],[Order Date]])</f>
        <v>2016</v>
      </c>
      <c r="G351" t="s">
        <v>187</v>
      </c>
      <c r="H351" t="s">
        <v>1251</v>
      </c>
      <c r="I351" t="s">
        <v>1252</v>
      </c>
      <c r="J351" t="s">
        <v>101</v>
      </c>
      <c r="K351" t="s">
        <v>26</v>
      </c>
      <c r="L351" t="s">
        <v>265</v>
      </c>
      <c r="M351" t="s">
        <v>266</v>
      </c>
      <c r="N351">
        <v>10009</v>
      </c>
      <c r="O351" t="s">
        <v>147</v>
      </c>
      <c r="P351" t="s">
        <v>969</v>
      </c>
      <c r="Q351" t="s">
        <v>70</v>
      </c>
      <c r="R351" t="s">
        <v>160</v>
      </c>
      <c r="S351" t="s">
        <v>970</v>
      </c>
      <c r="T351">
        <v>6.79</v>
      </c>
      <c r="U351">
        <v>1</v>
      </c>
      <c r="V351">
        <v>0</v>
      </c>
      <c r="W351">
        <v>2.3086000000000002</v>
      </c>
    </row>
    <row r="352" spans="1:23" x14ac:dyDescent="0.35">
      <c r="A352" s="1">
        <v>351</v>
      </c>
      <c r="B352" t="s">
        <v>1250</v>
      </c>
      <c r="C352" s="2">
        <v>42614</v>
      </c>
      <c r="D352" s="2">
        <v>42616</v>
      </c>
      <c r="E352" s="2" t="str">
        <f t="shared" si="5"/>
        <v>Sep</v>
      </c>
      <c r="F352" s="5">
        <f>YEAR(Table1[[#This Row],[Order Date]])</f>
        <v>2016</v>
      </c>
      <c r="G352" t="s">
        <v>187</v>
      </c>
      <c r="H352" t="s">
        <v>1251</v>
      </c>
      <c r="I352" t="s">
        <v>1252</v>
      </c>
      <c r="J352" t="s">
        <v>101</v>
      </c>
      <c r="K352" t="s">
        <v>26</v>
      </c>
      <c r="L352" t="s">
        <v>265</v>
      </c>
      <c r="M352" t="s">
        <v>266</v>
      </c>
      <c r="N352">
        <v>10009</v>
      </c>
      <c r="O352" t="s">
        <v>147</v>
      </c>
      <c r="P352" t="s">
        <v>1253</v>
      </c>
      <c r="Q352" t="s">
        <v>45</v>
      </c>
      <c r="R352" t="s">
        <v>89</v>
      </c>
      <c r="S352" t="s">
        <v>1254</v>
      </c>
      <c r="T352">
        <v>24.56</v>
      </c>
      <c r="U352">
        <v>2</v>
      </c>
      <c r="V352">
        <v>0</v>
      </c>
      <c r="W352">
        <v>11.543200000000001</v>
      </c>
    </row>
    <row r="353" spans="1:23" x14ac:dyDescent="0.35">
      <c r="A353" s="1">
        <v>352</v>
      </c>
      <c r="B353" t="s">
        <v>1250</v>
      </c>
      <c r="C353" s="2">
        <v>42614</v>
      </c>
      <c r="D353" s="2">
        <v>42616</v>
      </c>
      <c r="E353" s="2" t="str">
        <f t="shared" si="5"/>
        <v>Sep</v>
      </c>
      <c r="F353" s="5">
        <f>YEAR(Table1[[#This Row],[Order Date]])</f>
        <v>2016</v>
      </c>
      <c r="G353" t="s">
        <v>187</v>
      </c>
      <c r="H353" t="s">
        <v>1251</v>
      </c>
      <c r="I353" t="s">
        <v>1252</v>
      </c>
      <c r="J353" t="s">
        <v>101</v>
      </c>
      <c r="K353" t="s">
        <v>26</v>
      </c>
      <c r="L353" t="s">
        <v>265</v>
      </c>
      <c r="M353" t="s">
        <v>266</v>
      </c>
      <c r="N353">
        <v>10009</v>
      </c>
      <c r="O353" t="s">
        <v>147</v>
      </c>
      <c r="P353" t="s">
        <v>1255</v>
      </c>
      <c r="Q353" t="s">
        <v>45</v>
      </c>
      <c r="R353" t="s">
        <v>74</v>
      </c>
      <c r="S353" t="s">
        <v>1256</v>
      </c>
      <c r="T353">
        <v>3.048</v>
      </c>
      <c r="U353">
        <v>1</v>
      </c>
      <c r="V353">
        <v>0.2</v>
      </c>
      <c r="W353">
        <v>1.0668</v>
      </c>
    </row>
    <row r="354" spans="1:23" x14ac:dyDescent="0.35">
      <c r="A354" s="1">
        <v>353</v>
      </c>
      <c r="B354" t="s">
        <v>1250</v>
      </c>
      <c r="C354" s="2">
        <v>42614</v>
      </c>
      <c r="D354" s="2">
        <v>42616</v>
      </c>
      <c r="E354" s="2" t="str">
        <f t="shared" si="5"/>
        <v>Sep</v>
      </c>
      <c r="F354" s="5">
        <f>YEAR(Table1[[#This Row],[Order Date]])</f>
        <v>2016</v>
      </c>
      <c r="G354" t="s">
        <v>187</v>
      </c>
      <c r="H354" t="s">
        <v>1251</v>
      </c>
      <c r="I354" t="s">
        <v>1252</v>
      </c>
      <c r="J354" t="s">
        <v>101</v>
      </c>
      <c r="K354" t="s">
        <v>26</v>
      </c>
      <c r="L354" t="s">
        <v>265</v>
      </c>
      <c r="M354" t="s">
        <v>266</v>
      </c>
      <c r="N354">
        <v>10009</v>
      </c>
      <c r="O354" t="s">
        <v>147</v>
      </c>
      <c r="P354" t="s">
        <v>1253</v>
      </c>
      <c r="Q354" t="s">
        <v>45</v>
      </c>
      <c r="R354" t="s">
        <v>89</v>
      </c>
      <c r="S354" t="s">
        <v>1254</v>
      </c>
      <c r="T354">
        <v>49.12</v>
      </c>
      <c r="U354">
        <v>4</v>
      </c>
      <c r="V354">
        <v>0</v>
      </c>
      <c r="W354">
        <v>23.086400000000001</v>
      </c>
    </row>
    <row r="355" spans="1:23" x14ac:dyDescent="0.35">
      <c r="A355" s="1">
        <v>354</v>
      </c>
      <c r="B355" t="s">
        <v>1250</v>
      </c>
      <c r="C355" s="2">
        <v>42614</v>
      </c>
      <c r="D355" s="2">
        <v>42616</v>
      </c>
      <c r="E355" s="2" t="str">
        <f t="shared" si="5"/>
        <v>Sep</v>
      </c>
      <c r="F355" s="5">
        <f>YEAR(Table1[[#This Row],[Order Date]])</f>
        <v>2016</v>
      </c>
      <c r="G355" t="s">
        <v>187</v>
      </c>
      <c r="H355" t="s">
        <v>1251</v>
      </c>
      <c r="I355" t="s">
        <v>1252</v>
      </c>
      <c r="J355" t="s">
        <v>101</v>
      </c>
      <c r="K355" t="s">
        <v>26</v>
      </c>
      <c r="L355" t="s">
        <v>265</v>
      </c>
      <c r="M355" t="s">
        <v>266</v>
      </c>
      <c r="N355">
        <v>10009</v>
      </c>
      <c r="O355" t="s">
        <v>147</v>
      </c>
      <c r="P355" t="s">
        <v>1257</v>
      </c>
      <c r="Q355" t="s">
        <v>45</v>
      </c>
      <c r="R355" t="s">
        <v>74</v>
      </c>
      <c r="S355" t="s">
        <v>1258</v>
      </c>
      <c r="T355">
        <v>4355.1679999999997</v>
      </c>
      <c r="U355">
        <v>4</v>
      </c>
      <c r="V355">
        <v>0.2</v>
      </c>
      <c r="W355">
        <v>1415.4295999999999</v>
      </c>
    </row>
    <row r="356" spans="1:23" x14ac:dyDescent="0.35">
      <c r="A356" s="1">
        <v>355</v>
      </c>
      <c r="B356" t="s">
        <v>1259</v>
      </c>
      <c r="C356" s="2">
        <v>42468</v>
      </c>
      <c r="D356" s="2">
        <v>42473</v>
      </c>
      <c r="E356" s="2" t="str">
        <f t="shared" si="5"/>
        <v>Apr</v>
      </c>
      <c r="F356" s="5">
        <f>YEAR(Table1[[#This Row],[Order Date]])</f>
        <v>2016</v>
      </c>
      <c r="G356" t="s">
        <v>49</v>
      </c>
      <c r="H356" t="s">
        <v>1260</v>
      </c>
      <c r="I356" t="s">
        <v>1261</v>
      </c>
      <c r="J356" t="s">
        <v>25</v>
      </c>
      <c r="K356" t="s">
        <v>26</v>
      </c>
      <c r="L356" t="s">
        <v>265</v>
      </c>
      <c r="M356" t="s">
        <v>266</v>
      </c>
      <c r="N356">
        <v>10035</v>
      </c>
      <c r="O356" t="s">
        <v>147</v>
      </c>
      <c r="P356" t="s">
        <v>1262</v>
      </c>
      <c r="Q356" t="s">
        <v>31</v>
      </c>
      <c r="R356" t="s">
        <v>32</v>
      </c>
      <c r="S356" t="s">
        <v>1263</v>
      </c>
      <c r="T356">
        <v>388.70400000000001</v>
      </c>
      <c r="U356">
        <v>6</v>
      </c>
      <c r="V356">
        <v>0.2</v>
      </c>
      <c r="W356">
        <v>-4.8587999999999996</v>
      </c>
    </row>
    <row r="357" spans="1:23" x14ac:dyDescent="0.35">
      <c r="A357" s="1">
        <v>356</v>
      </c>
      <c r="B357" t="s">
        <v>1259</v>
      </c>
      <c r="C357" s="2">
        <v>42468</v>
      </c>
      <c r="D357" s="2">
        <v>42473</v>
      </c>
      <c r="E357" s="2" t="str">
        <f t="shared" si="5"/>
        <v>Apr</v>
      </c>
      <c r="F357" s="5">
        <f>YEAR(Table1[[#This Row],[Order Date]])</f>
        <v>2016</v>
      </c>
      <c r="G357" t="s">
        <v>49</v>
      </c>
      <c r="H357" t="s">
        <v>1260</v>
      </c>
      <c r="I357" t="s">
        <v>1261</v>
      </c>
      <c r="J357" t="s">
        <v>25</v>
      </c>
      <c r="K357" t="s">
        <v>26</v>
      </c>
      <c r="L357" t="s">
        <v>265</v>
      </c>
      <c r="M357" t="s">
        <v>266</v>
      </c>
      <c r="N357">
        <v>10035</v>
      </c>
      <c r="O357" t="s">
        <v>147</v>
      </c>
      <c r="P357" t="s">
        <v>1264</v>
      </c>
      <c r="Q357" t="s">
        <v>45</v>
      </c>
      <c r="R357" t="s">
        <v>172</v>
      </c>
      <c r="S357" t="s">
        <v>1265</v>
      </c>
      <c r="T357">
        <v>8.26</v>
      </c>
      <c r="U357">
        <v>2</v>
      </c>
      <c r="V357">
        <v>0</v>
      </c>
      <c r="W357">
        <v>3.7995999999999999</v>
      </c>
    </row>
    <row r="358" spans="1:23" x14ac:dyDescent="0.35">
      <c r="A358" s="1">
        <v>357</v>
      </c>
      <c r="B358" t="s">
        <v>1259</v>
      </c>
      <c r="C358" s="2">
        <v>42468</v>
      </c>
      <c r="D358" s="2">
        <v>42473</v>
      </c>
      <c r="E358" s="2" t="str">
        <f t="shared" si="5"/>
        <v>Apr</v>
      </c>
      <c r="F358" s="5">
        <f>YEAR(Table1[[#This Row],[Order Date]])</f>
        <v>2016</v>
      </c>
      <c r="G358" t="s">
        <v>49</v>
      </c>
      <c r="H358" t="s">
        <v>1260</v>
      </c>
      <c r="I358" t="s">
        <v>1261</v>
      </c>
      <c r="J358" t="s">
        <v>25</v>
      </c>
      <c r="K358" t="s">
        <v>26</v>
      </c>
      <c r="L358" t="s">
        <v>265</v>
      </c>
      <c r="M358" t="s">
        <v>266</v>
      </c>
      <c r="N358">
        <v>10035</v>
      </c>
      <c r="O358" t="s">
        <v>147</v>
      </c>
      <c r="P358" t="s">
        <v>1266</v>
      </c>
      <c r="Q358" t="s">
        <v>45</v>
      </c>
      <c r="R358" t="s">
        <v>67</v>
      </c>
      <c r="S358" t="s">
        <v>1267</v>
      </c>
      <c r="T358">
        <v>17.04</v>
      </c>
      <c r="U358">
        <v>4</v>
      </c>
      <c r="V358">
        <v>0</v>
      </c>
      <c r="W358">
        <v>6.9863999999999997</v>
      </c>
    </row>
    <row r="359" spans="1:23" x14ac:dyDescent="0.35">
      <c r="A359" s="1">
        <v>358</v>
      </c>
      <c r="B359" t="s">
        <v>1259</v>
      </c>
      <c r="C359" s="2">
        <v>42468</v>
      </c>
      <c r="D359" s="2">
        <v>42473</v>
      </c>
      <c r="E359" s="2" t="str">
        <f t="shared" si="5"/>
        <v>Apr</v>
      </c>
      <c r="F359" s="5">
        <f>YEAR(Table1[[#This Row],[Order Date]])</f>
        <v>2016</v>
      </c>
      <c r="G359" t="s">
        <v>49</v>
      </c>
      <c r="H359" t="s">
        <v>1260</v>
      </c>
      <c r="I359" t="s">
        <v>1261</v>
      </c>
      <c r="J359" t="s">
        <v>25</v>
      </c>
      <c r="K359" t="s">
        <v>26</v>
      </c>
      <c r="L359" t="s">
        <v>265</v>
      </c>
      <c r="M359" t="s">
        <v>266</v>
      </c>
      <c r="N359">
        <v>10035</v>
      </c>
      <c r="O359" t="s">
        <v>147</v>
      </c>
      <c r="P359" t="s">
        <v>1268</v>
      </c>
      <c r="Q359" t="s">
        <v>45</v>
      </c>
      <c r="R359" t="s">
        <v>89</v>
      </c>
      <c r="S359" t="s">
        <v>1269</v>
      </c>
      <c r="T359">
        <v>34.4</v>
      </c>
      <c r="U359">
        <v>5</v>
      </c>
      <c r="V359">
        <v>0</v>
      </c>
      <c r="W359">
        <v>15.824</v>
      </c>
    </row>
    <row r="360" spans="1:23" x14ac:dyDescent="0.35">
      <c r="A360" s="1">
        <v>359</v>
      </c>
      <c r="B360" t="s">
        <v>1270</v>
      </c>
      <c r="C360" s="2">
        <v>42483</v>
      </c>
      <c r="D360" s="2">
        <v>42488</v>
      </c>
      <c r="E360" s="2" t="str">
        <f t="shared" si="5"/>
        <v>Apr</v>
      </c>
      <c r="F360" s="5">
        <f>YEAR(Table1[[#This Row],[Order Date]])</f>
        <v>2016</v>
      </c>
      <c r="G360" t="s">
        <v>49</v>
      </c>
      <c r="H360" t="s">
        <v>820</v>
      </c>
      <c r="I360" t="s">
        <v>821</v>
      </c>
      <c r="J360" t="s">
        <v>40</v>
      </c>
      <c r="K360" t="s">
        <v>26</v>
      </c>
      <c r="L360" t="s">
        <v>466</v>
      </c>
      <c r="M360" t="s">
        <v>87</v>
      </c>
      <c r="N360">
        <v>28205</v>
      </c>
      <c r="O360" t="s">
        <v>29</v>
      </c>
      <c r="P360" t="s">
        <v>803</v>
      </c>
      <c r="Q360" t="s">
        <v>45</v>
      </c>
      <c r="R360" t="s">
        <v>89</v>
      </c>
      <c r="S360" t="s">
        <v>804</v>
      </c>
      <c r="T360">
        <v>36.24</v>
      </c>
      <c r="U360">
        <v>5</v>
      </c>
      <c r="V360">
        <v>0.2</v>
      </c>
      <c r="W360">
        <v>11.324999999999999</v>
      </c>
    </row>
    <row r="361" spans="1:23" x14ac:dyDescent="0.35">
      <c r="A361" s="1">
        <v>360</v>
      </c>
      <c r="B361" t="s">
        <v>1271</v>
      </c>
      <c r="C361" s="2">
        <v>42802</v>
      </c>
      <c r="D361" s="2">
        <v>42805</v>
      </c>
      <c r="E361" s="2" t="str">
        <f t="shared" si="5"/>
        <v>Mar</v>
      </c>
      <c r="F361" s="5">
        <f>YEAR(Table1[[#This Row],[Order Date]])</f>
        <v>2017</v>
      </c>
      <c r="G361" t="s">
        <v>187</v>
      </c>
      <c r="H361" t="s">
        <v>1272</v>
      </c>
      <c r="I361" t="s">
        <v>1273</v>
      </c>
      <c r="J361" t="s">
        <v>40</v>
      </c>
      <c r="K361" t="s">
        <v>26</v>
      </c>
      <c r="L361" t="s">
        <v>496</v>
      </c>
      <c r="M361" t="s">
        <v>1274</v>
      </c>
      <c r="N361">
        <v>31907</v>
      </c>
      <c r="O361" t="s">
        <v>29</v>
      </c>
      <c r="P361" t="s">
        <v>1275</v>
      </c>
      <c r="Q361" t="s">
        <v>45</v>
      </c>
      <c r="R361" t="s">
        <v>77</v>
      </c>
      <c r="S361" t="s">
        <v>1276</v>
      </c>
      <c r="T361">
        <v>647.84</v>
      </c>
      <c r="U361">
        <v>8</v>
      </c>
      <c r="V361">
        <v>0</v>
      </c>
      <c r="W361">
        <v>168.4384</v>
      </c>
    </row>
    <row r="362" spans="1:23" x14ac:dyDescent="0.35">
      <c r="A362" s="1">
        <v>361</v>
      </c>
      <c r="B362" t="s">
        <v>1271</v>
      </c>
      <c r="C362" s="2">
        <v>42802</v>
      </c>
      <c r="D362" s="2">
        <v>42805</v>
      </c>
      <c r="E362" s="2" t="str">
        <f t="shared" si="5"/>
        <v>Mar</v>
      </c>
      <c r="F362" s="5">
        <f>YEAR(Table1[[#This Row],[Order Date]])</f>
        <v>2017</v>
      </c>
      <c r="G362" t="s">
        <v>187</v>
      </c>
      <c r="H362" t="s">
        <v>1272</v>
      </c>
      <c r="I362" t="s">
        <v>1273</v>
      </c>
      <c r="J362" t="s">
        <v>40</v>
      </c>
      <c r="K362" t="s">
        <v>26</v>
      </c>
      <c r="L362" t="s">
        <v>496</v>
      </c>
      <c r="M362" t="s">
        <v>1274</v>
      </c>
      <c r="N362">
        <v>31907</v>
      </c>
      <c r="O362" t="s">
        <v>29</v>
      </c>
      <c r="P362" t="s">
        <v>1277</v>
      </c>
      <c r="Q362" t="s">
        <v>45</v>
      </c>
      <c r="R362" t="s">
        <v>46</v>
      </c>
      <c r="S362" t="s">
        <v>1278</v>
      </c>
      <c r="T362">
        <v>20.7</v>
      </c>
      <c r="U362">
        <v>2</v>
      </c>
      <c r="V362">
        <v>0</v>
      </c>
      <c r="W362">
        <v>9.9359999999999999</v>
      </c>
    </row>
    <row r="363" spans="1:23" x14ac:dyDescent="0.35">
      <c r="A363" s="1">
        <v>362</v>
      </c>
      <c r="B363" t="s">
        <v>1279</v>
      </c>
      <c r="C363" s="2">
        <v>43003</v>
      </c>
      <c r="D363" s="2">
        <v>43009</v>
      </c>
      <c r="E363" s="2" t="str">
        <f t="shared" si="5"/>
        <v>Sep</v>
      </c>
      <c r="F363" s="5">
        <f>YEAR(Table1[[#This Row],[Order Date]])</f>
        <v>2017</v>
      </c>
      <c r="G363" t="s">
        <v>49</v>
      </c>
      <c r="H363" t="s">
        <v>1280</v>
      </c>
      <c r="I363" t="s">
        <v>1281</v>
      </c>
      <c r="J363" t="s">
        <v>25</v>
      </c>
      <c r="K363" t="s">
        <v>26</v>
      </c>
      <c r="L363" t="s">
        <v>265</v>
      </c>
      <c r="M363" t="s">
        <v>266</v>
      </c>
      <c r="N363">
        <v>10009</v>
      </c>
      <c r="O363" t="s">
        <v>147</v>
      </c>
      <c r="P363" t="s">
        <v>1277</v>
      </c>
      <c r="Q363" t="s">
        <v>45</v>
      </c>
      <c r="R363" t="s">
        <v>46</v>
      </c>
      <c r="S363" t="s">
        <v>1278</v>
      </c>
      <c r="T363">
        <v>20.7</v>
      </c>
      <c r="U363">
        <v>2</v>
      </c>
      <c r="V363">
        <v>0</v>
      </c>
      <c r="W363">
        <v>9.9359999999999999</v>
      </c>
    </row>
    <row r="364" spans="1:23" x14ac:dyDescent="0.35">
      <c r="A364" s="1">
        <v>363</v>
      </c>
      <c r="B364" t="s">
        <v>1279</v>
      </c>
      <c r="C364" s="2">
        <v>43003</v>
      </c>
      <c r="D364" s="2">
        <v>43009</v>
      </c>
      <c r="E364" s="2" t="str">
        <f t="shared" si="5"/>
        <v>Sep</v>
      </c>
      <c r="F364" s="5">
        <f>YEAR(Table1[[#This Row],[Order Date]])</f>
        <v>2017</v>
      </c>
      <c r="G364" t="s">
        <v>49</v>
      </c>
      <c r="H364" t="s">
        <v>1280</v>
      </c>
      <c r="I364" t="s">
        <v>1281</v>
      </c>
      <c r="J364" t="s">
        <v>25</v>
      </c>
      <c r="K364" t="s">
        <v>26</v>
      </c>
      <c r="L364" t="s">
        <v>265</v>
      </c>
      <c r="M364" t="s">
        <v>266</v>
      </c>
      <c r="N364">
        <v>10009</v>
      </c>
      <c r="O364" t="s">
        <v>147</v>
      </c>
      <c r="P364" t="s">
        <v>1282</v>
      </c>
      <c r="Q364" t="s">
        <v>31</v>
      </c>
      <c r="R364" t="s">
        <v>35</v>
      </c>
      <c r="S364" t="s">
        <v>1283</v>
      </c>
      <c r="T364">
        <v>488.64600000000002</v>
      </c>
      <c r="U364">
        <v>3</v>
      </c>
      <c r="V364">
        <v>0.1</v>
      </c>
      <c r="W364">
        <v>86.870400000000004</v>
      </c>
    </row>
    <row r="365" spans="1:23" x14ac:dyDescent="0.35">
      <c r="A365" s="1">
        <v>364</v>
      </c>
      <c r="B365" t="s">
        <v>1279</v>
      </c>
      <c r="C365" s="2">
        <v>43003</v>
      </c>
      <c r="D365" s="2">
        <v>43009</v>
      </c>
      <c r="E365" s="2" t="str">
        <f t="shared" si="5"/>
        <v>Sep</v>
      </c>
      <c r="F365" s="5">
        <f>YEAR(Table1[[#This Row],[Order Date]])</f>
        <v>2017</v>
      </c>
      <c r="G365" t="s">
        <v>49</v>
      </c>
      <c r="H365" t="s">
        <v>1280</v>
      </c>
      <c r="I365" t="s">
        <v>1281</v>
      </c>
      <c r="J365" t="s">
        <v>25</v>
      </c>
      <c r="K365" t="s">
        <v>26</v>
      </c>
      <c r="L365" t="s">
        <v>265</v>
      </c>
      <c r="M365" t="s">
        <v>266</v>
      </c>
      <c r="N365">
        <v>10009</v>
      </c>
      <c r="O365" t="s">
        <v>147</v>
      </c>
      <c r="P365" t="s">
        <v>1284</v>
      </c>
      <c r="Q365" t="s">
        <v>45</v>
      </c>
      <c r="R365" t="s">
        <v>67</v>
      </c>
      <c r="S365" t="s">
        <v>1285</v>
      </c>
      <c r="T365">
        <v>5.56</v>
      </c>
      <c r="U365">
        <v>2</v>
      </c>
      <c r="V365">
        <v>0</v>
      </c>
      <c r="W365">
        <v>1.4456</v>
      </c>
    </row>
    <row r="366" spans="1:23" x14ac:dyDescent="0.35">
      <c r="A366" s="1">
        <v>365</v>
      </c>
      <c r="B366" t="s">
        <v>1279</v>
      </c>
      <c r="C366" s="2">
        <v>43003</v>
      </c>
      <c r="D366" s="2">
        <v>43009</v>
      </c>
      <c r="E366" s="2" t="str">
        <f t="shared" si="5"/>
        <v>Sep</v>
      </c>
      <c r="F366" s="5">
        <f>YEAR(Table1[[#This Row],[Order Date]])</f>
        <v>2017</v>
      </c>
      <c r="G366" t="s">
        <v>49</v>
      </c>
      <c r="H366" t="s">
        <v>1280</v>
      </c>
      <c r="I366" t="s">
        <v>1281</v>
      </c>
      <c r="J366" t="s">
        <v>25</v>
      </c>
      <c r="K366" t="s">
        <v>26</v>
      </c>
      <c r="L366" t="s">
        <v>265</v>
      </c>
      <c r="M366" t="s">
        <v>266</v>
      </c>
      <c r="N366">
        <v>10009</v>
      </c>
      <c r="O366" t="s">
        <v>147</v>
      </c>
      <c r="P366" t="s">
        <v>1286</v>
      </c>
      <c r="Q366" t="s">
        <v>31</v>
      </c>
      <c r="R366" t="s">
        <v>64</v>
      </c>
      <c r="S366" t="s">
        <v>1287</v>
      </c>
      <c r="T366">
        <v>47.12</v>
      </c>
      <c r="U366">
        <v>8</v>
      </c>
      <c r="V366">
        <v>0</v>
      </c>
      <c r="W366">
        <v>20.732800000000001</v>
      </c>
    </row>
    <row r="367" spans="1:23" x14ac:dyDescent="0.35">
      <c r="A367" s="1">
        <v>366</v>
      </c>
      <c r="B367" t="s">
        <v>1288</v>
      </c>
      <c r="C367" s="2">
        <v>41906</v>
      </c>
      <c r="D367" s="2">
        <v>41911</v>
      </c>
      <c r="E367" s="2" t="str">
        <f t="shared" si="5"/>
        <v>Sep</v>
      </c>
      <c r="F367" s="5">
        <f>YEAR(Table1[[#This Row],[Order Date]])</f>
        <v>2014</v>
      </c>
      <c r="G367" t="s">
        <v>49</v>
      </c>
      <c r="H367" t="s">
        <v>1289</v>
      </c>
      <c r="I367" t="s">
        <v>1290</v>
      </c>
      <c r="J367" t="s">
        <v>25</v>
      </c>
      <c r="K367" t="s">
        <v>26</v>
      </c>
      <c r="L367" t="s">
        <v>126</v>
      </c>
      <c r="M367" t="s">
        <v>42</v>
      </c>
      <c r="N367">
        <v>94109</v>
      </c>
      <c r="O367" t="s">
        <v>43</v>
      </c>
      <c r="P367" t="s">
        <v>238</v>
      </c>
      <c r="Q367" t="s">
        <v>45</v>
      </c>
      <c r="R367" t="s">
        <v>58</v>
      </c>
      <c r="S367" t="s">
        <v>239</v>
      </c>
      <c r="T367">
        <v>211.96</v>
      </c>
      <c r="U367">
        <v>4</v>
      </c>
      <c r="V367">
        <v>0</v>
      </c>
      <c r="W367">
        <v>8.4784000000000006</v>
      </c>
    </row>
    <row r="368" spans="1:23" x14ac:dyDescent="0.35">
      <c r="A368" s="1">
        <v>367</v>
      </c>
      <c r="B368" t="s">
        <v>1291</v>
      </c>
      <c r="C368" s="2">
        <v>42664</v>
      </c>
      <c r="D368" s="2">
        <v>42664</v>
      </c>
      <c r="E368" s="2" t="str">
        <f t="shared" si="5"/>
        <v>Oct</v>
      </c>
      <c r="F368" s="5">
        <f>YEAR(Table1[[#This Row],[Order Date]])</f>
        <v>2016</v>
      </c>
      <c r="G368" t="s">
        <v>1292</v>
      </c>
      <c r="H368" t="s">
        <v>1293</v>
      </c>
      <c r="I368" t="s">
        <v>1294</v>
      </c>
      <c r="J368" t="s">
        <v>40</v>
      </c>
      <c r="K368" t="s">
        <v>26</v>
      </c>
      <c r="L368" t="s">
        <v>1295</v>
      </c>
      <c r="M368" t="s">
        <v>748</v>
      </c>
      <c r="N368">
        <v>6040</v>
      </c>
      <c r="O368" t="s">
        <v>147</v>
      </c>
      <c r="P368" t="s">
        <v>1296</v>
      </c>
      <c r="Q368" t="s">
        <v>45</v>
      </c>
      <c r="R368" t="s">
        <v>74</v>
      </c>
      <c r="S368" t="s">
        <v>1297</v>
      </c>
      <c r="T368">
        <v>23.2</v>
      </c>
      <c r="U368">
        <v>4</v>
      </c>
      <c r="V368">
        <v>0</v>
      </c>
      <c r="W368">
        <v>10.44</v>
      </c>
    </row>
    <row r="369" spans="1:23" x14ac:dyDescent="0.35">
      <c r="A369" s="1">
        <v>368</v>
      </c>
      <c r="B369" t="s">
        <v>1291</v>
      </c>
      <c r="C369" s="2">
        <v>42664</v>
      </c>
      <c r="D369" s="2">
        <v>42664</v>
      </c>
      <c r="E369" s="2" t="str">
        <f t="shared" si="5"/>
        <v>Oct</v>
      </c>
      <c r="F369" s="5">
        <f>YEAR(Table1[[#This Row],[Order Date]])</f>
        <v>2016</v>
      </c>
      <c r="G369" t="s">
        <v>1292</v>
      </c>
      <c r="H369" t="s">
        <v>1293</v>
      </c>
      <c r="I369" t="s">
        <v>1294</v>
      </c>
      <c r="J369" t="s">
        <v>40</v>
      </c>
      <c r="K369" t="s">
        <v>26</v>
      </c>
      <c r="L369" t="s">
        <v>1295</v>
      </c>
      <c r="M369" t="s">
        <v>748</v>
      </c>
      <c r="N369">
        <v>6040</v>
      </c>
      <c r="O369" t="s">
        <v>147</v>
      </c>
      <c r="P369" t="s">
        <v>1298</v>
      </c>
      <c r="Q369" t="s">
        <v>45</v>
      </c>
      <c r="R369" t="s">
        <v>578</v>
      </c>
      <c r="S369" t="s">
        <v>1299</v>
      </c>
      <c r="T369">
        <v>7.36</v>
      </c>
      <c r="U369">
        <v>2</v>
      </c>
      <c r="V369">
        <v>0</v>
      </c>
      <c r="W369">
        <v>0.1472</v>
      </c>
    </row>
    <row r="370" spans="1:23" x14ac:dyDescent="0.35">
      <c r="A370" s="1">
        <v>369</v>
      </c>
      <c r="B370" t="s">
        <v>1291</v>
      </c>
      <c r="C370" s="2">
        <v>42664</v>
      </c>
      <c r="D370" s="2">
        <v>42664</v>
      </c>
      <c r="E370" s="2" t="str">
        <f t="shared" si="5"/>
        <v>Oct</v>
      </c>
      <c r="F370" s="5">
        <f>YEAR(Table1[[#This Row],[Order Date]])</f>
        <v>2016</v>
      </c>
      <c r="G370" t="s">
        <v>1292</v>
      </c>
      <c r="H370" t="s">
        <v>1293</v>
      </c>
      <c r="I370" t="s">
        <v>1294</v>
      </c>
      <c r="J370" t="s">
        <v>40</v>
      </c>
      <c r="K370" t="s">
        <v>26</v>
      </c>
      <c r="L370" t="s">
        <v>1295</v>
      </c>
      <c r="M370" t="s">
        <v>748</v>
      </c>
      <c r="N370">
        <v>6040</v>
      </c>
      <c r="O370" t="s">
        <v>147</v>
      </c>
      <c r="P370" t="s">
        <v>1300</v>
      </c>
      <c r="Q370" t="s">
        <v>45</v>
      </c>
      <c r="R370" t="s">
        <v>58</v>
      </c>
      <c r="S370" t="s">
        <v>1301</v>
      </c>
      <c r="T370">
        <v>104.79</v>
      </c>
      <c r="U370">
        <v>7</v>
      </c>
      <c r="V370">
        <v>0</v>
      </c>
      <c r="W370">
        <v>29.341200000000001</v>
      </c>
    </row>
    <row r="371" spans="1:23" x14ac:dyDescent="0.35">
      <c r="A371" s="1">
        <v>370</v>
      </c>
      <c r="B371" t="s">
        <v>1291</v>
      </c>
      <c r="C371" s="2">
        <v>42664</v>
      </c>
      <c r="D371" s="2">
        <v>42664</v>
      </c>
      <c r="E371" s="2" t="str">
        <f t="shared" si="5"/>
        <v>Oct</v>
      </c>
      <c r="F371" s="5">
        <f>YEAR(Table1[[#This Row],[Order Date]])</f>
        <v>2016</v>
      </c>
      <c r="G371" t="s">
        <v>1292</v>
      </c>
      <c r="H371" t="s">
        <v>1293</v>
      </c>
      <c r="I371" t="s">
        <v>1294</v>
      </c>
      <c r="J371" t="s">
        <v>40</v>
      </c>
      <c r="K371" t="s">
        <v>26</v>
      </c>
      <c r="L371" t="s">
        <v>1295</v>
      </c>
      <c r="M371" t="s">
        <v>748</v>
      </c>
      <c r="N371">
        <v>6040</v>
      </c>
      <c r="O371" t="s">
        <v>147</v>
      </c>
      <c r="P371" t="s">
        <v>200</v>
      </c>
      <c r="Q371" t="s">
        <v>31</v>
      </c>
      <c r="R371" t="s">
        <v>32</v>
      </c>
      <c r="S371" t="s">
        <v>201</v>
      </c>
      <c r="T371">
        <v>1043.92</v>
      </c>
      <c r="U371">
        <v>4</v>
      </c>
      <c r="V371">
        <v>0</v>
      </c>
      <c r="W371">
        <v>271.41919999999999</v>
      </c>
    </row>
    <row r="372" spans="1:23" x14ac:dyDescent="0.35">
      <c r="A372" s="1">
        <v>371</v>
      </c>
      <c r="B372" t="s">
        <v>1302</v>
      </c>
      <c r="C372" s="2">
        <v>42884</v>
      </c>
      <c r="D372" s="2">
        <v>42890</v>
      </c>
      <c r="E372" s="2" t="str">
        <f t="shared" si="5"/>
        <v>May</v>
      </c>
      <c r="F372" s="5">
        <f>YEAR(Table1[[#This Row],[Order Date]])</f>
        <v>2017</v>
      </c>
      <c r="G372" t="s">
        <v>49</v>
      </c>
      <c r="H372" t="s">
        <v>1303</v>
      </c>
      <c r="I372" t="s">
        <v>1304</v>
      </c>
      <c r="J372" t="s">
        <v>25</v>
      </c>
      <c r="K372" t="s">
        <v>26</v>
      </c>
      <c r="L372" t="s">
        <v>1305</v>
      </c>
      <c r="M372" t="s">
        <v>103</v>
      </c>
      <c r="N372">
        <v>78550</v>
      </c>
      <c r="O372" t="s">
        <v>104</v>
      </c>
      <c r="P372" t="s">
        <v>1306</v>
      </c>
      <c r="Q372" t="s">
        <v>45</v>
      </c>
      <c r="R372" t="s">
        <v>89</v>
      </c>
      <c r="S372" t="s">
        <v>1307</v>
      </c>
      <c r="T372">
        <v>25.92</v>
      </c>
      <c r="U372">
        <v>5</v>
      </c>
      <c r="V372">
        <v>0.2</v>
      </c>
      <c r="W372">
        <v>9.3960000000000008</v>
      </c>
    </row>
    <row r="373" spans="1:23" x14ac:dyDescent="0.35">
      <c r="A373" s="1">
        <v>372</v>
      </c>
      <c r="B373" t="s">
        <v>1302</v>
      </c>
      <c r="C373" s="2">
        <v>42884</v>
      </c>
      <c r="D373" s="2">
        <v>42890</v>
      </c>
      <c r="E373" s="2" t="str">
        <f t="shared" si="5"/>
        <v>May</v>
      </c>
      <c r="F373" s="5">
        <f>YEAR(Table1[[#This Row],[Order Date]])</f>
        <v>2017</v>
      </c>
      <c r="G373" t="s">
        <v>49</v>
      </c>
      <c r="H373" t="s">
        <v>1303</v>
      </c>
      <c r="I373" t="s">
        <v>1304</v>
      </c>
      <c r="J373" t="s">
        <v>25</v>
      </c>
      <c r="K373" t="s">
        <v>26</v>
      </c>
      <c r="L373" t="s">
        <v>1305</v>
      </c>
      <c r="M373" t="s">
        <v>103</v>
      </c>
      <c r="N373">
        <v>78550</v>
      </c>
      <c r="O373" t="s">
        <v>104</v>
      </c>
      <c r="P373" t="s">
        <v>1308</v>
      </c>
      <c r="Q373" t="s">
        <v>45</v>
      </c>
      <c r="R373" t="s">
        <v>58</v>
      </c>
      <c r="S373" t="s">
        <v>1309</v>
      </c>
      <c r="T373">
        <v>53.423999999999999</v>
      </c>
      <c r="U373">
        <v>3</v>
      </c>
      <c r="V373">
        <v>0.2</v>
      </c>
      <c r="W373">
        <v>4.6745999999999999</v>
      </c>
    </row>
    <row r="374" spans="1:23" x14ac:dyDescent="0.35">
      <c r="A374" s="1">
        <v>373</v>
      </c>
      <c r="B374" t="s">
        <v>1310</v>
      </c>
      <c r="C374" s="2">
        <v>41843</v>
      </c>
      <c r="D374" s="2">
        <v>41847</v>
      </c>
      <c r="E374" s="2" t="str">
        <f t="shared" si="5"/>
        <v>Jul</v>
      </c>
      <c r="F374" s="5">
        <f>YEAR(Table1[[#This Row],[Order Date]])</f>
        <v>2014</v>
      </c>
      <c r="G374" t="s">
        <v>49</v>
      </c>
      <c r="H374" t="s">
        <v>1311</v>
      </c>
      <c r="I374" t="s">
        <v>1312</v>
      </c>
      <c r="J374" t="s">
        <v>25</v>
      </c>
      <c r="K374" t="s">
        <v>26</v>
      </c>
      <c r="L374" t="s">
        <v>1313</v>
      </c>
      <c r="M374" t="s">
        <v>309</v>
      </c>
      <c r="N374">
        <v>85705</v>
      </c>
      <c r="O374" t="s">
        <v>43</v>
      </c>
      <c r="P374" t="s">
        <v>1210</v>
      </c>
      <c r="Q374" t="s">
        <v>45</v>
      </c>
      <c r="R374" t="s">
        <v>74</v>
      </c>
      <c r="S374" t="s">
        <v>1211</v>
      </c>
      <c r="T374">
        <v>8.16</v>
      </c>
      <c r="U374">
        <v>5</v>
      </c>
      <c r="V374">
        <v>0.7</v>
      </c>
      <c r="W374">
        <v>-5.7119999999999997</v>
      </c>
    </row>
    <row r="375" spans="1:23" x14ac:dyDescent="0.35">
      <c r="A375" s="1">
        <v>374</v>
      </c>
      <c r="B375" t="s">
        <v>1310</v>
      </c>
      <c r="C375" s="2">
        <v>41843</v>
      </c>
      <c r="D375" s="2">
        <v>41847</v>
      </c>
      <c r="E375" s="2" t="str">
        <f t="shared" si="5"/>
        <v>Jul</v>
      </c>
      <c r="F375" s="5">
        <f>YEAR(Table1[[#This Row],[Order Date]])</f>
        <v>2014</v>
      </c>
      <c r="G375" t="s">
        <v>49</v>
      </c>
      <c r="H375" t="s">
        <v>1311</v>
      </c>
      <c r="I375" t="s">
        <v>1312</v>
      </c>
      <c r="J375" t="s">
        <v>25</v>
      </c>
      <c r="K375" t="s">
        <v>26</v>
      </c>
      <c r="L375" t="s">
        <v>1313</v>
      </c>
      <c r="M375" t="s">
        <v>309</v>
      </c>
      <c r="N375">
        <v>85705</v>
      </c>
      <c r="O375" t="s">
        <v>43</v>
      </c>
      <c r="P375" t="s">
        <v>1314</v>
      </c>
      <c r="Q375" t="s">
        <v>70</v>
      </c>
      <c r="R375" t="s">
        <v>160</v>
      </c>
      <c r="S375" t="s">
        <v>1315</v>
      </c>
      <c r="T375">
        <v>1023.936</v>
      </c>
      <c r="U375">
        <v>8</v>
      </c>
      <c r="V375">
        <v>0.2</v>
      </c>
      <c r="W375">
        <v>179.18879999999999</v>
      </c>
    </row>
    <row r="376" spans="1:23" x14ac:dyDescent="0.35">
      <c r="A376" s="1">
        <v>375</v>
      </c>
      <c r="B376" t="s">
        <v>1310</v>
      </c>
      <c r="C376" s="2">
        <v>41843</v>
      </c>
      <c r="D376" s="2">
        <v>41847</v>
      </c>
      <c r="E376" s="2" t="str">
        <f t="shared" si="5"/>
        <v>Jul</v>
      </c>
      <c r="F376" s="5">
        <f>YEAR(Table1[[#This Row],[Order Date]])</f>
        <v>2014</v>
      </c>
      <c r="G376" t="s">
        <v>49</v>
      </c>
      <c r="H376" t="s">
        <v>1311</v>
      </c>
      <c r="I376" t="s">
        <v>1312</v>
      </c>
      <c r="J376" t="s">
        <v>25</v>
      </c>
      <c r="K376" t="s">
        <v>26</v>
      </c>
      <c r="L376" t="s">
        <v>1313</v>
      </c>
      <c r="M376" t="s">
        <v>309</v>
      </c>
      <c r="N376">
        <v>85705</v>
      </c>
      <c r="O376" t="s">
        <v>43</v>
      </c>
      <c r="P376" t="s">
        <v>1316</v>
      </c>
      <c r="Q376" t="s">
        <v>45</v>
      </c>
      <c r="R376" t="s">
        <v>67</v>
      </c>
      <c r="S376" t="s">
        <v>1317</v>
      </c>
      <c r="T376">
        <v>9.24</v>
      </c>
      <c r="U376">
        <v>1</v>
      </c>
      <c r="V376">
        <v>0.2</v>
      </c>
      <c r="W376">
        <v>0.92400000000000004</v>
      </c>
    </row>
    <row r="377" spans="1:23" x14ac:dyDescent="0.35">
      <c r="A377" s="1">
        <v>376</v>
      </c>
      <c r="B377" t="s">
        <v>1310</v>
      </c>
      <c r="C377" s="2">
        <v>41843</v>
      </c>
      <c r="D377" s="2">
        <v>41847</v>
      </c>
      <c r="E377" s="2" t="str">
        <f t="shared" si="5"/>
        <v>Jul</v>
      </c>
      <c r="F377" s="5">
        <f>YEAR(Table1[[#This Row],[Order Date]])</f>
        <v>2014</v>
      </c>
      <c r="G377" t="s">
        <v>49</v>
      </c>
      <c r="H377" t="s">
        <v>1311</v>
      </c>
      <c r="I377" t="s">
        <v>1312</v>
      </c>
      <c r="J377" t="s">
        <v>25</v>
      </c>
      <c r="K377" t="s">
        <v>26</v>
      </c>
      <c r="L377" t="s">
        <v>1313</v>
      </c>
      <c r="M377" t="s">
        <v>309</v>
      </c>
      <c r="N377">
        <v>85705</v>
      </c>
      <c r="O377" t="s">
        <v>43</v>
      </c>
      <c r="P377" t="s">
        <v>1318</v>
      </c>
      <c r="Q377" t="s">
        <v>70</v>
      </c>
      <c r="R377" t="s">
        <v>160</v>
      </c>
      <c r="S377" t="s">
        <v>1319</v>
      </c>
      <c r="T377">
        <v>479.04</v>
      </c>
      <c r="U377">
        <v>10</v>
      </c>
      <c r="V377">
        <v>0.2</v>
      </c>
      <c r="W377">
        <v>-29.94</v>
      </c>
    </row>
    <row r="378" spans="1:23" x14ac:dyDescent="0.35">
      <c r="A378" s="1">
        <v>377</v>
      </c>
      <c r="B378" t="s">
        <v>1320</v>
      </c>
      <c r="C378" s="2">
        <v>42641</v>
      </c>
      <c r="D378" s="2">
        <v>42644</v>
      </c>
      <c r="E378" s="2" t="str">
        <f t="shared" si="5"/>
        <v>Sep</v>
      </c>
      <c r="F378" s="5">
        <f>YEAR(Table1[[#This Row],[Order Date]])</f>
        <v>2016</v>
      </c>
      <c r="G378" t="s">
        <v>187</v>
      </c>
      <c r="H378" t="s">
        <v>1321</v>
      </c>
      <c r="I378" t="s">
        <v>1322</v>
      </c>
      <c r="J378" t="s">
        <v>40</v>
      </c>
      <c r="K378" t="s">
        <v>26</v>
      </c>
      <c r="L378" t="s">
        <v>1323</v>
      </c>
      <c r="M378" t="s">
        <v>210</v>
      </c>
      <c r="N378">
        <v>62301</v>
      </c>
      <c r="O378" t="s">
        <v>104</v>
      </c>
      <c r="P378" t="s">
        <v>1324</v>
      </c>
      <c r="Q378" t="s">
        <v>45</v>
      </c>
      <c r="R378" t="s">
        <v>89</v>
      </c>
      <c r="S378" t="s">
        <v>1325</v>
      </c>
      <c r="T378">
        <v>99.135999999999996</v>
      </c>
      <c r="U378">
        <v>4</v>
      </c>
      <c r="V378">
        <v>0.2</v>
      </c>
      <c r="W378">
        <v>30.98</v>
      </c>
    </row>
    <row r="379" spans="1:23" x14ac:dyDescent="0.35">
      <c r="A379" s="1">
        <v>378</v>
      </c>
      <c r="B379" t="s">
        <v>1326</v>
      </c>
      <c r="C379" s="2">
        <v>42974</v>
      </c>
      <c r="D379" s="2">
        <v>42979</v>
      </c>
      <c r="E379" s="2" t="str">
        <f t="shared" si="5"/>
        <v>Aug</v>
      </c>
      <c r="F379" s="5">
        <f>YEAR(Table1[[#This Row],[Order Date]])</f>
        <v>2017</v>
      </c>
      <c r="G379" t="s">
        <v>49</v>
      </c>
      <c r="H379" t="s">
        <v>1327</v>
      </c>
      <c r="I379" t="s">
        <v>1328</v>
      </c>
      <c r="J379" t="s">
        <v>40</v>
      </c>
      <c r="K379" t="s">
        <v>26</v>
      </c>
      <c r="L379" t="s">
        <v>612</v>
      </c>
      <c r="M379" t="s">
        <v>1247</v>
      </c>
      <c r="N379">
        <v>2038</v>
      </c>
      <c r="O379" t="s">
        <v>147</v>
      </c>
      <c r="P379" t="s">
        <v>1329</v>
      </c>
      <c r="Q379" t="s">
        <v>31</v>
      </c>
      <c r="R379" t="s">
        <v>55</v>
      </c>
      <c r="S379" t="s">
        <v>1330</v>
      </c>
      <c r="T379">
        <v>1488.424</v>
      </c>
      <c r="U379">
        <v>7</v>
      </c>
      <c r="V379">
        <v>0.3</v>
      </c>
      <c r="W379">
        <v>-297.6848</v>
      </c>
    </row>
    <row r="380" spans="1:23" x14ac:dyDescent="0.35">
      <c r="A380" s="1">
        <v>379</v>
      </c>
      <c r="B380" t="s">
        <v>1331</v>
      </c>
      <c r="C380" s="2">
        <v>42122</v>
      </c>
      <c r="D380" s="2">
        <v>42129</v>
      </c>
      <c r="E380" s="2" t="str">
        <f t="shared" si="5"/>
        <v>Apr</v>
      </c>
      <c r="F380" s="5">
        <f>YEAR(Table1[[#This Row],[Order Date]])</f>
        <v>2015</v>
      </c>
      <c r="G380" t="s">
        <v>49</v>
      </c>
      <c r="H380" t="s">
        <v>1332</v>
      </c>
      <c r="I380" t="s">
        <v>1333</v>
      </c>
      <c r="J380" t="s">
        <v>25</v>
      </c>
      <c r="K380" t="s">
        <v>26</v>
      </c>
      <c r="L380" t="s">
        <v>183</v>
      </c>
      <c r="M380" t="s">
        <v>103</v>
      </c>
      <c r="N380">
        <v>77095</v>
      </c>
      <c r="O380" t="s">
        <v>104</v>
      </c>
      <c r="P380" t="s">
        <v>1334</v>
      </c>
      <c r="Q380" t="s">
        <v>45</v>
      </c>
      <c r="R380" t="s">
        <v>77</v>
      </c>
      <c r="S380" t="s">
        <v>1335</v>
      </c>
      <c r="T380">
        <v>8.6519999999999992</v>
      </c>
      <c r="U380">
        <v>3</v>
      </c>
      <c r="V380">
        <v>0.8</v>
      </c>
      <c r="W380">
        <v>-20.3322</v>
      </c>
    </row>
    <row r="381" spans="1:23" x14ac:dyDescent="0.35">
      <c r="A381" s="1">
        <v>380</v>
      </c>
      <c r="B381" t="s">
        <v>1331</v>
      </c>
      <c r="C381" s="2">
        <v>42122</v>
      </c>
      <c r="D381" s="2">
        <v>42129</v>
      </c>
      <c r="E381" s="2" t="str">
        <f t="shared" si="5"/>
        <v>Apr</v>
      </c>
      <c r="F381" s="5">
        <f>YEAR(Table1[[#This Row],[Order Date]])</f>
        <v>2015</v>
      </c>
      <c r="G381" t="s">
        <v>49</v>
      </c>
      <c r="H381" t="s">
        <v>1332</v>
      </c>
      <c r="I381" t="s">
        <v>1333</v>
      </c>
      <c r="J381" t="s">
        <v>25</v>
      </c>
      <c r="K381" t="s">
        <v>26</v>
      </c>
      <c r="L381" t="s">
        <v>183</v>
      </c>
      <c r="M381" t="s">
        <v>103</v>
      </c>
      <c r="N381">
        <v>77095</v>
      </c>
      <c r="O381" t="s">
        <v>104</v>
      </c>
      <c r="P381" t="s">
        <v>1336</v>
      </c>
      <c r="Q381" t="s">
        <v>45</v>
      </c>
      <c r="R381" t="s">
        <v>58</v>
      </c>
      <c r="S381" t="s">
        <v>1337</v>
      </c>
      <c r="T381">
        <v>23.832000000000001</v>
      </c>
      <c r="U381">
        <v>3</v>
      </c>
      <c r="V381">
        <v>0.2</v>
      </c>
      <c r="W381">
        <v>2.6810999999999998</v>
      </c>
    </row>
    <row r="382" spans="1:23" x14ac:dyDescent="0.35">
      <c r="A382" s="1">
        <v>381</v>
      </c>
      <c r="B382" t="s">
        <v>1331</v>
      </c>
      <c r="C382" s="2">
        <v>42122</v>
      </c>
      <c r="D382" s="2">
        <v>42129</v>
      </c>
      <c r="E382" s="2" t="str">
        <f t="shared" si="5"/>
        <v>Apr</v>
      </c>
      <c r="F382" s="5">
        <f>YEAR(Table1[[#This Row],[Order Date]])</f>
        <v>2015</v>
      </c>
      <c r="G382" t="s">
        <v>49</v>
      </c>
      <c r="H382" t="s">
        <v>1332</v>
      </c>
      <c r="I382" t="s">
        <v>1333</v>
      </c>
      <c r="J382" t="s">
        <v>25</v>
      </c>
      <c r="K382" t="s">
        <v>26</v>
      </c>
      <c r="L382" t="s">
        <v>183</v>
      </c>
      <c r="M382" t="s">
        <v>103</v>
      </c>
      <c r="N382">
        <v>77095</v>
      </c>
      <c r="O382" t="s">
        <v>104</v>
      </c>
      <c r="P382" t="s">
        <v>1338</v>
      </c>
      <c r="Q382" t="s">
        <v>45</v>
      </c>
      <c r="R382" t="s">
        <v>74</v>
      </c>
      <c r="S382" t="s">
        <v>1339</v>
      </c>
      <c r="T382">
        <v>12.176</v>
      </c>
      <c r="U382">
        <v>4</v>
      </c>
      <c r="V382">
        <v>0.8</v>
      </c>
      <c r="W382">
        <v>-18.872800000000002</v>
      </c>
    </row>
    <row r="383" spans="1:23" x14ac:dyDescent="0.35">
      <c r="A383" s="1">
        <v>382</v>
      </c>
      <c r="B383" t="s">
        <v>1340</v>
      </c>
      <c r="C383" s="2">
        <v>42671</v>
      </c>
      <c r="D383" s="2">
        <v>42672</v>
      </c>
      <c r="E383" s="2" t="str">
        <f t="shared" si="5"/>
        <v>Oct</v>
      </c>
      <c r="F383" s="5">
        <f>YEAR(Table1[[#This Row],[Order Date]])</f>
        <v>2016</v>
      </c>
      <c r="G383" t="s">
        <v>187</v>
      </c>
      <c r="H383" t="s">
        <v>1341</v>
      </c>
      <c r="I383" t="s">
        <v>1342</v>
      </c>
      <c r="J383" t="s">
        <v>40</v>
      </c>
      <c r="K383" t="s">
        <v>26</v>
      </c>
      <c r="L383" t="s">
        <v>126</v>
      </c>
      <c r="M383" t="s">
        <v>42</v>
      </c>
      <c r="N383">
        <v>94109</v>
      </c>
      <c r="O383" t="s">
        <v>43</v>
      </c>
      <c r="P383" t="s">
        <v>1343</v>
      </c>
      <c r="Q383" t="s">
        <v>45</v>
      </c>
      <c r="R383" t="s">
        <v>89</v>
      </c>
      <c r="S383" t="s">
        <v>1344</v>
      </c>
      <c r="T383">
        <v>50.96</v>
      </c>
      <c r="U383">
        <v>7</v>
      </c>
      <c r="V383">
        <v>0</v>
      </c>
      <c r="W383">
        <v>25.48</v>
      </c>
    </row>
    <row r="384" spans="1:23" x14ac:dyDescent="0.35">
      <c r="A384" s="1">
        <v>383</v>
      </c>
      <c r="B384" t="s">
        <v>1340</v>
      </c>
      <c r="C384" s="2">
        <v>42671</v>
      </c>
      <c r="D384" s="2">
        <v>42672</v>
      </c>
      <c r="E384" s="2" t="str">
        <f t="shared" si="5"/>
        <v>Oct</v>
      </c>
      <c r="F384" s="5">
        <f>YEAR(Table1[[#This Row],[Order Date]])</f>
        <v>2016</v>
      </c>
      <c r="G384" t="s">
        <v>187</v>
      </c>
      <c r="H384" t="s">
        <v>1341</v>
      </c>
      <c r="I384" t="s">
        <v>1342</v>
      </c>
      <c r="J384" t="s">
        <v>40</v>
      </c>
      <c r="K384" t="s">
        <v>26</v>
      </c>
      <c r="L384" t="s">
        <v>126</v>
      </c>
      <c r="M384" t="s">
        <v>42</v>
      </c>
      <c r="N384">
        <v>94109</v>
      </c>
      <c r="O384" t="s">
        <v>43</v>
      </c>
      <c r="P384" t="s">
        <v>1345</v>
      </c>
      <c r="Q384" t="s">
        <v>45</v>
      </c>
      <c r="R384" t="s">
        <v>74</v>
      </c>
      <c r="S384" t="s">
        <v>1346</v>
      </c>
      <c r="T384">
        <v>49.536000000000001</v>
      </c>
      <c r="U384">
        <v>3</v>
      </c>
      <c r="V384">
        <v>0.2</v>
      </c>
      <c r="W384">
        <v>17.337599999999998</v>
      </c>
    </row>
    <row r="385" spans="1:23" x14ac:dyDescent="0.35">
      <c r="A385" s="1">
        <v>384</v>
      </c>
      <c r="B385" t="s">
        <v>1347</v>
      </c>
      <c r="C385" s="2">
        <v>42181</v>
      </c>
      <c r="D385" s="2">
        <v>42184</v>
      </c>
      <c r="E385" s="2" t="str">
        <f t="shared" si="5"/>
        <v>Jun</v>
      </c>
      <c r="F385" s="5">
        <f>YEAR(Table1[[#This Row],[Order Date]])</f>
        <v>2015</v>
      </c>
      <c r="G385" t="s">
        <v>22</v>
      </c>
      <c r="H385" t="s">
        <v>1348</v>
      </c>
      <c r="I385" t="s">
        <v>1349</v>
      </c>
      <c r="J385" t="s">
        <v>40</v>
      </c>
      <c r="K385" t="s">
        <v>26</v>
      </c>
      <c r="L385" t="s">
        <v>1115</v>
      </c>
      <c r="M385" t="s">
        <v>237</v>
      </c>
      <c r="N385">
        <v>48180</v>
      </c>
      <c r="O385" t="s">
        <v>104</v>
      </c>
      <c r="P385" t="s">
        <v>1350</v>
      </c>
      <c r="Q385" t="s">
        <v>70</v>
      </c>
      <c r="R385" t="s">
        <v>160</v>
      </c>
      <c r="S385" t="s">
        <v>1351</v>
      </c>
      <c r="T385">
        <v>41.9</v>
      </c>
      <c r="U385">
        <v>2</v>
      </c>
      <c r="V385">
        <v>0</v>
      </c>
      <c r="W385">
        <v>8.7989999999999995</v>
      </c>
    </row>
    <row r="386" spans="1:23" x14ac:dyDescent="0.35">
      <c r="A386" s="1">
        <v>385</v>
      </c>
      <c r="B386" t="s">
        <v>1352</v>
      </c>
      <c r="C386" s="2">
        <v>42335</v>
      </c>
      <c r="D386" s="2">
        <v>42340</v>
      </c>
      <c r="E386" s="2" t="str">
        <f t="shared" ref="E386:E449" si="6">TEXT(C386,"mmm")</f>
        <v>Nov</v>
      </c>
      <c r="F386" s="5">
        <f>YEAR(Table1[[#This Row],[Order Date]])</f>
        <v>2015</v>
      </c>
      <c r="G386" t="s">
        <v>49</v>
      </c>
      <c r="H386" t="s">
        <v>1353</v>
      </c>
      <c r="I386" t="s">
        <v>1354</v>
      </c>
      <c r="J386" t="s">
        <v>25</v>
      </c>
      <c r="K386" t="s">
        <v>26</v>
      </c>
      <c r="L386" t="s">
        <v>1355</v>
      </c>
      <c r="M386" t="s">
        <v>53</v>
      </c>
      <c r="N386">
        <v>33024</v>
      </c>
      <c r="O386" t="s">
        <v>29</v>
      </c>
      <c r="P386" t="s">
        <v>1356</v>
      </c>
      <c r="Q386" t="s">
        <v>31</v>
      </c>
      <c r="R386" t="s">
        <v>55</v>
      </c>
      <c r="S386" t="s">
        <v>1357</v>
      </c>
      <c r="T386">
        <v>375.45749999999998</v>
      </c>
      <c r="U386">
        <v>3</v>
      </c>
      <c r="V386">
        <v>0.45</v>
      </c>
      <c r="W386">
        <v>-157.0095</v>
      </c>
    </row>
    <row r="387" spans="1:23" x14ac:dyDescent="0.35">
      <c r="A387" s="1">
        <v>386</v>
      </c>
      <c r="B387" t="s">
        <v>1352</v>
      </c>
      <c r="C387" s="2">
        <v>42335</v>
      </c>
      <c r="D387" s="2">
        <v>42340</v>
      </c>
      <c r="E387" s="2" t="str">
        <f t="shared" si="6"/>
        <v>Nov</v>
      </c>
      <c r="F387" s="5">
        <f>YEAR(Table1[[#This Row],[Order Date]])</f>
        <v>2015</v>
      </c>
      <c r="G387" t="s">
        <v>49</v>
      </c>
      <c r="H387" t="s">
        <v>1353</v>
      </c>
      <c r="I387" t="s">
        <v>1354</v>
      </c>
      <c r="J387" t="s">
        <v>25</v>
      </c>
      <c r="K387" t="s">
        <v>26</v>
      </c>
      <c r="L387" t="s">
        <v>1355</v>
      </c>
      <c r="M387" t="s">
        <v>53</v>
      </c>
      <c r="N387">
        <v>33024</v>
      </c>
      <c r="O387" t="s">
        <v>29</v>
      </c>
      <c r="P387" t="s">
        <v>1358</v>
      </c>
      <c r="Q387" t="s">
        <v>70</v>
      </c>
      <c r="R387" t="s">
        <v>160</v>
      </c>
      <c r="S387" t="s">
        <v>1359</v>
      </c>
      <c r="T387">
        <v>83.975999999999999</v>
      </c>
      <c r="U387">
        <v>3</v>
      </c>
      <c r="V387">
        <v>0.2</v>
      </c>
      <c r="W387">
        <v>-1.0497000000000001</v>
      </c>
    </row>
    <row r="388" spans="1:23" x14ac:dyDescent="0.35">
      <c r="A388" s="1">
        <v>387</v>
      </c>
      <c r="B388" t="s">
        <v>1360</v>
      </c>
      <c r="C388" s="2">
        <v>42341</v>
      </c>
      <c r="D388" s="2">
        <v>42345</v>
      </c>
      <c r="E388" s="2" t="str">
        <f t="shared" si="6"/>
        <v>Dec</v>
      </c>
      <c r="F388" s="5">
        <f>YEAR(Table1[[#This Row],[Order Date]])</f>
        <v>2015</v>
      </c>
      <c r="G388" t="s">
        <v>49</v>
      </c>
      <c r="H388" t="s">
        <v>1361</v>
      </c>
      <c r="I388" t="s">
        <v>1362</v>
      </c>
      <c r="J388" t="s">
        <v>40</v>
      </c>
      <c r="K388" t="s">
        <v>26</v>
      </c>
      <c r="L388" t="s">
        <v>145</v>
      </c>
      <c r="M388" t="s">
        <v>146</v>
      </c>
      <c r="N388">
        <v>19140</v>
      </c>
      <c r="O388" t="s">
        <v>147</v>
      </c>
      <c r="P388" t="s">
        <v>1363</v>
      </c>
      <c r="Q388" t="s">
        <v>70</v>
      </c>
      <c r="R388" t="s">
        <v>683</v>
      </c>
      <c r="S388" t="s">
        <v>1364</v>
      </c>
      <c r="T388">
        <v>482.34</v>
      </c>
      <c r="U388">
        <v>4</v>
      </c>
      <c r="V388">
        <v>0.7</v>
      </c>
      <c r="W388">
        <v>-337.63799999999998</v>
      </c>
    </row>
    <row r="389" spans="1:23" x14ac:dyDescent="0.35">
      <c r="A389" s="1">
        <v>388</v>
      </c>
      <c r="B389" t="s">
        <v>1360</v>
      </c>
      <c r="C389" s="2">
        <v>42341</v>
      </c>
      <c r="D389" s="2">
        <v>42345</v>
      </c>
      <c r="E389" s="2" t="str">
        <f t="shared" si="6"/>
        <v>Dec</v>
      </c>
      <c r="F389" s="5">
        <f>YEAR(Table1[[#This Row],[Order Date]])</f>
        <v>2015</v>
      </c>
      <c r="G389" t="s">
        <v>49</v>
      </c>
      <c r="H389" t="s">
        <v>1361</v>
      </c>
      <c r="I389" t="s">
        <v>1362</v>
      </c>
      <c r="J389" t="s">
        <v>40</v>
      </c>
      <c r="K389" t="s">
        <v>26</v>
      </c>
      <c r="L389" t="s">
        <v>145</v>
      </c>
      <c r="M389" t="s">
        <v>146</v>
      </c>
      <c r="N389">
        <v>19140</v>
      </c>
      <c r="O389" t="s">
        <v>147</v>
      </c>
      <c r="P389" t="s">
        <v>1365</v>
      </c>
      <c r="Q389" t="s">
        <v>31</v>
      </c>
      <c r="R389" t="s">
        <v>64</v>
      </c>
      <c r="S389" t="s">
        <v>1366</v>
      </c>
      <c r="T389">
        <v>2.96</v>
      </c>
      <c r="U389">
        <v>1</v>
      </c>
      <c r="V389">
        <v>0.2</v>
      </c>
      <c r="W389">
        <v>0.77700000000000002</v>
      </c>
    </row>
    <row r="390" spans="1:23" x14ac:dyDescent="0.35">
      <c r="A390" s="1">
        <v>389</v>
      </c>
      <c r="B390" t="s">
        <v>1367</v>
      </c>
      <c r="C390" s="2">
        <v>41967</v>
      </c>
      <c r="D390" s="2">
        <v>41969</v>
      </c>
      <c r="E390" s="2" t="str">
        <f t="shared" si="6"/>
        <v>Nov</v>
      </c>
      <c r="F390" s="5">
        <f>YEAR(Table1[[#This Row],[Order Date]])</f>
        <v>2014</v>
      </c>
      <c r="G390" t="s">
        <v>187</v>
      </c>
      <c r="H390" t="s">
        <v>1368</v>
      </c>
      <c r="I390" t="s">
        <v>1369</v>
      </c>
      <c r="J390" t="s">
        <v>25</v>
      </c>
      <c r="K390" t="s">
        <v>26</v>
      </c>
      <c r="L390" t="s">
        <v>1009</v>
      </c>
      <c r="M390" t="s">
        <v>497</v>
      </c>
      <c r="N390">
        <v>45231</v>
      </c>
      <c r="O390" t="s">
        <v>147</v>
      </c>
      <c r="P390" t="s">
        <v>1370</v>
      </c>
      <c r="Q390" t="s">
        <v>45</v>
      </c>
      <c r="R390" t="s">
        <v>67</v>
      </c>
      <c r="S390" t="s">
        <v>1371</v>
      </c>
      <c r="T390">
        <v>2.6240000000000001</v>
      </c>
      <c r="U390">
        <v>1</v>
      </c>
      <c r="V390">
        <v>0.2</v>
      </c>
      <c r="W390">
        <v>0.4264</v>
      </c>
    </row>
    <row r="391" spans="1:23" x14ac:dyDescent="0.35">
      <c r="A391" s="1">
        <v>390</v>
      </c>
      <c r="B391" t="s">
        <v>1372</v>
      </c>
      <c r="C391" s="2">
        <v>43080</v>
      </c>
      <c r="D391" s="2">
        <v>43084</v>
      </c>
      <c r="E391" s="2" t="str">
        <f t="shared" si="6"/>
        <v>Dec</v>
      </c>
      <c r="F391" s="5">
        <f>YEAR(Table1[[#This Row],[Order Date]])</f>
        <v>2017</v>
      </c>
      <c r="G391" t="s">
        <v>49</v>
      </c>
      <c r="H391" t="s">
        <v>1373</v>
      </c>
      <c r="I391" t="s">
        <v>1374</v>
      </c>
      <c r="J391" t="s">
        <v>25</v>
      </c>
      <c r="K391" t="s">
        <v>26</v>
      </c>
      <c r="L391" t="s">
        <v>265</v>
      </c>
      <c r="M391" t="s">
        <v>266</v>
      </c>
      <c r="N391">
        <v>10009</v>
      </c>
      <c r="O391" t="s">
        <v>147</v>
      </c>
      <c r="P391" t="s">
        <v>1375</v>
      </c>
      <c r="Q391" t="s">
        <v>45</v>
      </c>
      <c r="R391" t="s">
        <v>74</v>
      </c>
      <c r="S391" t="s">
        <v>1376</v>
      </c>
      <c r="T391">
        <v>23.36</v>
      </c>
      <c r="U391">
        <v>4</v>
      </c>
      <c r="V391">
        <v>0.2</v>
      </c>
      <c r="W391">
        <v>7.8840000000000003</v>
      </c>
    </row>
    <row r="392" spans="1:23" x14ac:dyDescent="0.35">
      <c r="A392" s="1">
        <v>391</v>
      </c>
      <c r="B392" t="s">
        <v>1372</v>
      </c>
      <c r="C392" s="2">
        <v>43080</v>
      </c>
      <c r="D392" s="2">
        <v>43084</v>
      </c>
      <c r="E392" s="2" t="str">
        <f t="shared" si="6"/>
        <v>Dec</v>
      </c>
      <c r="F392" s="5">
        <f>YEAR(Table1[[#This Row],[Order Date]])</f>
        <v>2017</v>
      </c>
      <c r="G392" t="s">
        <v>49</v>
      </c>
      <c r="H392" t="s">
        <v>1373</v>
      </c>
      <c r="I392" t="s">
        <v>1374</v>
      </c>
      <c r="J392" t="s">
        <v>25</v>
      </c>
      <c r="K392" t="s">
        <v>26</v>
      </c>
      <c r="L392" t="s">
        <v>265</v>
      </c>
      <c r="M392" t="s">
        <v>266</v>
      </c>
      <c r="N392">
        <v>10009</v>
      </c>
      <c r="O392" t="s">
        <v>147</v>
      </c>
      <c r="P392" t="s">
        <v>389</v>
      </c>
      <c r="Q392" t="s">
        <v>70</v>
      </c>
      <c r="R392" t="s">
        <v>160</v>
      </c>
      <c r="S392" t="s">
        <v>390</v>
      </c>
      <c r="T392">
        <v>39.979999999999997</v>
      </c>
      <c r="U392">
        <v>2</v>
      </c>
      <c r="V392">
        <v>0</v>
      </c>
      <c r="W392">
        <v>13.5932</v>
      </c>
    </row>
    <row r="393" spans="1:23" x14ac:dyDescent="0.35">
      <c r="A393" s="1">
        <v>392</v>
      </c>
      <c r="B393" t="s">
        <v>1377</v>
      </c>
      <c r="C393" s="2">
        <v>41903</v>
      </c>
      <c r="D393" s="2">
        <v>41905</v>
      </c>
      <c r="E393" s="2" t="str">
        <f t="shared" si="6"/>
        <v>Sep</v>
      </c>
      <c r="F393" s="5">
        <f>YEAR(Table1[[#This Row],[Order Date]])</f>
        <v>2014</v>
      </c>
      <c r="G393" t="s">
        <v>22</v>
      </c>
      <c r="H393" t="s">
        <v>1378</v>
      </c>
      <c r="I393" t="s">
        <v>1379</v>
      </c>
      <c r="J393" t="s">
        <v>25</v>
      </c>
      <c r="K393" t="s">
        <v>26</v>
      </c>
      <c r="L393" t="s">
        <v>1380</v>
      </c>
      <c r="M393" t="s">
        <v>95</v>
      </c>
      <c r="N393">
        <v>98198</v>
      </c>
      <c r="O393" t="s">
        <v>43</v>
      </c>
      <c r="P393" t="s">
        <v>1381</v>
      </c>
      <c r="Q393" t="s">
        <v>70</v>
      </c>
      <c r="R393" t="s">
        <v>71</v>
      </c>
      <c r="S393" t="s">
        <v>1382</v>
      </c>
      <c r="T393">
        <v>246.38399999999999</v>
      </c>
      <c r="U393">
        <v>2</v>
      </c>
      <c r="V393">
        <v>0.2</v>
      </c>
      <c r="W393">
        <v>27.7182</v>
      </c>
    </row>
    <row r="394" spans="1:23" x14ac:dyDescent="0.35">
      <c r="A394" s="1">
        <v>393</v>
      </c>
      <c r="B394" t="s">
        <v>1377</v>
      </c>
      <c r="C394" s="2">
        <v>41903</v>
      </c>
      <c r="D394" s="2">
        <v>41905</v>
      </c>
      <c r="E394" s="2" t="str">
        <f t="shared" si="6"/>
        <v>Sep</v>
      </c>
      <c r="F394" s="5">
        <f>YEAR(Table1[[#This Row],[Order Date]])</f>
        <v>2014</v>
      </c>
      <c r="G394" t="s">
        <v>22</v>
      </c>
      <c r="H394" t="s">
        <v>1378</v>
      </c>
      <c r="I394" t="s">
        <v>1379</v>
      </c>
      <c r="J394" t="s">
        <v>25</v>
      </c>
      <c r="K394" t="s">
        <v>26</v>
      </c>
      <c r="L394" t="s">
        <v>1380</v>
      </c>
      <c r="M394" t="s">
        <v>95</v>
      </c>
      <c r="N394">
        <v>98198</v>
      </c>
      <c r="O394" t="s">
        <v>43</v>
      </c>
      <c r="P394" t="s">
        <v>1383</v>
      </c>
      <c r="Q394" t="s">
        <v>70</v>
      </c>
      <c r="R394" t="s">
        <v>1218</v>
      </c>
      <c r="S394" t="s">
        <v>1384</v>
      </c>
      <c r="T394">
        <v>1799.97</v>
      </c>
      <c r="U394">
        <v>3</v>
      </c>
      <c r="V394">
        <v>0</v>
      </c>
      <c r="W394">
        <v>701.98829999999998</v>
      </c>
    </row>
    <row r="395" spans="1:23" x14ac:dyDescent="0.35">
      <c r="A395" s="1">
        <v>394</v>
      </c>
      <c r="B395" t="s">
        <v>1385</v>
      </c>
      <c r="C395" s="2">
        <v>41797</v>
      </c>
      <c r="D395" s="2">
        <v>41800</v>
      </c>
      <c r="E395" s="2" t="str">
        <f t="shared" si="6"/>
        <v>Jun</v>
      </c>
      <c r="F395" s="5">
        <f>YEAR(Table1[[#This Row],[Order Date]])</f>
        <v>2014</v>
      </c>
      <c r="G395" t="s">
        <v>22</v>
      </c>
      <c r="H395" t="s">
        <v>1386</v>
      </c>
      <c r="I395" t="s">
        <v>1387</v>
      </c>
      <c r="J395" t="s">
        <v>40</v>
      </c>
      <c r="K395" t="s">
        <v>26</v>
      </c>
      <c r="L395" t="s">
        <v>1388</v>
      </c>
      <c r="M395" t="s">
        <v>210</v>
      </c>
      <c r="N395">
        <v>61604</v>
      </c>
      <c r="O395" t="s">
        <v>104</v>
      </c>
      <c r="P395" t="s">
        <v>1389</v>
      </c>
      <c r="Q395" t="s">
        <v>45</v>
      </c>
      <c r="R395" t="s">
        <v>74</v>
      </c>
      <c r="S395" t="s">
        <v>1390</v>
      </c>
      <c r="T395">
        <v>12.462</v>
      </c>
      <c r="U395">
        <v>3</v>
      </c>
      <c r="V395">
        <v>0.8</v>
      </c>
      <c r="W395">
        <v>-20.5623</v>
      </c>
    </row>
    <row r="396" spans="1:23" x14ac:dyDescent="0.35">
      <c r="A396" s="1">
        <v>395</v>
      </c>
      <c r="B396" t="s">
        <v>1391</v>
      </c>
      <c r="C396" s="2">
        <v>42916</v>
      </c>
      <c r="D396" s="2">
        <v>42921</v>
      </c>
      <c r="E396" s="2" t="str">
        <f t="shared" si="6"/>
        <v>Jun</v>
      </c>
      <c r="F396" s="5">
        <f>YEAR(Table1[[#This Row],[Order Date]])</f>
        <v>2017</v>
      </c>
      <c r="G396" t="s">
        <v>49</v>
      </c>
      <c r="H396" t="s">
        <v>1392</v>
      </c>
      <c r="I396" t="s">
        <v>1393</v>
      </c>
      <c r="J396" t="s">
        <v>101</v>
      </c>
      <c r="K396" t="s">
        <v>26</v>
      </c>
      <c r="L396" t="s">
        <v>1394</v>
      </c>
      <c r="M396" t="s">
        <v>1395</v>
      </c>
      <c r="N396">
        <v>89115</v>
      </c>
      <c r="O396" t="s">
        <v>43</v>
      </c>
      <c r="P396" t="s">
        <v>1396</v>
      </c>
      <c r="Q396" t="s">
        <v>45</v>
      </c>
      <c r="R396" t="s">
        <v>74</v>
      </c>
      <c r="S396" t="s">
        <v>1397</v>
      </c>
      <c r="T396">
        <v>75.792000000000002</v>
      </c>
      <c r="U396">
        <v>3</v>
      </c>
      <c r="V396">
        <v>0.2</v>
      </c>
      <c r="W396">
        <v>25.579799999999999</v>
      </c>
    </row>
    <row r="397" spans="1:23" x14ac:dyDescent="0.35">
      <c r="A397" s="1">
        <v>396</v>
      </c>
      <c r="B397" t="s">
        <v>1398</v>
      </c>
      <c r="C397" s="2">
        <v>43025</v>
      </c>
      <c r="D397" s="2">
        <v>43027</v>
      </c>
      <c r="E397" s="2" t="str">
        <f t="shared" si="6"/>
        <v>Oct</v>
      </c>
      <c r="F397" s="5">
        <f>YEAR(Table1[[#This Row],[Order Date]])</f>
        <v>2017</v>
      </c>
      <c r="G397" t="s">
        <v>22</v>
      </c>
      <c r="H397" t="s">
        <v>1399</v>
      </c>
      <c r="I397" t="s">
        <v>1400</v>
      </c>
      <c r="J397" t="s">
        <v>40</v>
      </c>
      <c r="K397" t="s">
        <v>26</v>
      </c>
      <c r="L397" t="s">
        <v>1401</v>
      </c>
      <c r="M397" t="s">
        <v>1402</v>
      </c>
      <c r="N397">
        <v>2886</v>
      </c>
      <c r="O397" t="s">
        <v>147</v>
      </c>
      <c r="P397" t="s">
        <v>1403</v>
      </c>
      <c r="Q397" t="s">
        <v>45</v>
      </c>
      <c r="R397" t="s">
        <v>58</v>
      </c>
      <c r="S397" t="s">
        <v>1404</v>
      </c>
      <c r="T397">
        <v>49.96</v>
      </c>
      <c r="U397">
        <v>2</v>
      </c>
      <c r="V397">
        <v>0</v>
      </c>
      <c r="W397">
        <v>9.4923999999999999</v>
      </c>
    </row>
    <row r="398" spans="1:23" x14ac:dyDescent="0.35">
      <c r="A398" s="1">
        <v>397</v>
      </c>
      <c r="B398" t="s">
        <v>1398</v>
      </c>
      <c r="C398" s="2">
        <v>43025</v>
      </c>
      <c r="D398" s="2">
        <v>43027</v>
      </c>
      <c r="E398" s="2" t="str">
        <f t="shared" si="6"/>
        <v>Oct</v>
      </c>
      <c r="F398" s="5">
        <f>YEAR(Table1[[#This Row],[Order Date]])</f>
        <v>2017</v>
      </c>
      <c r="G398" t="s">
        <v>22</v>
      </c>
      <c r="H398" t="s">
        <v>1399</v>
      </c>
      <c r="I398" t="s">
        <v>1400</v>
      </c>
      <c r="J398" t="s">
        <v>40</v>
      </c>
      <c r="K398" t="s">
        <v>26</v>
      </c>
      <c r="L398" t="s">
        <v>1401</v>
      </c>
      <c r="M398" t="s">
        <v>1402</v>
      </c>
      <c r="N398">
        <v>2886</v>
      </c>
      <c r="O398" t="s">
        <v>147</v>
      </c>
      <c r="P398" t="s">
        <v>1405</v>
      </c>
      <c r="Q398" t="s">
        <v>45</v>
      </c>
      <c r="R398" t="s">
        <v>89</v>
      </c>
      <c r="S398" t="s">
        <v>1406</v>
      </c>
      <c r="T398">
        <v>12.96</v>
      </c>
      <c r="U398">
        <v>2</v>
      </c>
      <c r="V398">
        <v>0</v>
      </c>
      <c r="W398">
        <v>6.2207999999999997</v>
      </c>
    </row>
    <row r="399" spans="1:23" x14ac:dyDescent="0.35">
      <c r="A399" s="1">
        <v>398</v>
      </c>
      <c r="B399" t="s">
        <v>1407</v>
      </c>
      <c r="C399" s="2">
        <v>42308</v>
      </c>
      <c r="D399" s="2">
        <v>42312</v>
      </c>
      <c r="E399" s="2" t="str">
        <f t="shared" si="6"/>
        <v>Oct</v>
      </c>
      <c r="F399" s="5">
        <f>YEAR(Table1[[#This Row],[Order Date]])</f>
        <v>2015</v>
      </c>
      <c r="G399" t="s">
        <v>49</v>
      </c>
      <c r="H399" t="s">
        <v>99</v>
      </c>
      <c r="I399" t="s">
        <v>100</v>
      </c>
      <c r="J399" t="s">
        <v>101</v>
      </c>
      <c r="K399" t="s">
        <v>26</v>
      </c>
      <c r="L399" t="s">
        <v>327</v>
      </c>
      <c r="M399" t="s">
        <v>237</v>
      </c>
      <c r="N399">
        <v>49201</v>
      </c>
      <c r="O399" t="s">
        <v>104</v>
      </c>
      <c r="P399" t="s">
        <v>1408</v>
      </c>
      <c r="Q399" t="s">
        <v>45</v>
      </c>
      <c r="R399" t="s">
        <v>578</v>
      </c>
      <c r="S399" t="s">
        <v>1409</v>
      </c>
      <c r="T399">
        <v>70.12</v>
      </c>
      <c r="U399">
        <v>4</v>
      </c>
      <c r="V399">
        <v>0</v>
      </c>
      <c r="W399">
        <v>21.036000000000001</v>
      </c>
    </row>
    <row r="400" spans="1:23" x14ac:dyDescent="0.35">
      <c r="A400" s="1">
        <v>399</v>
      </c>
      <c r="B400" t="s">
        <v>1410</v>
      </c>
      <c r="C400" s="2">
        <v>42621</v>
      </c>
      <c r="D400" s="2">
        <v>42623</v>
      </c>
      <c r="E400" s="2" t="str">
        <f t="shared" si="6"/>
        <v>Sep</v>
      </c>
      <c r="F400" s="5">
        <f>YEAR(Table1[[#This Row],[Order Date]])</f>
        <v>2016</v>
      </c>
      <c r="G400" t="s">
        <v>22</v>
      </c>
      <c r="H400" t="s">
        <v>1411</v>
      </c>
      <c r="I400" t="s">
        <v>1412</v>
      </c>
      <c r="J400" t="s">
        <v>25</v>
      </c>
      <c r="K400" t="s">
        <v>26</v>
      </c>
      <c r="L400" t="s">
        <v>183</v>
      </c>
      <c r="M400" t="s">
        <v>103</v>
      </c>
      <c r="N400">
        <v>77036</v>
      </c>
      <c r="O400" t="s">
        <v>104</v>
      </c>
      <c r="P400" t="s">
        <v>1413</v>
      </c>
      <c r="Q400" t="s">
        <v>45</v>
      </c>
      <c r="R400" t="s">
        <v>58</v>
      </c>
      <c r="S400" t="s">
        <v>1414</v>
      </c>
      <c r="T400">
        <v>35.951999999999998</v>
      </c>
      <c r="U400">
        <v>3</v>
      </c>
      <c r="V400">
        <v>0.2</v>
      </c>
      <c r="W400">
        <v>3.5952000000000002</v>
      </c>
    </row>
    <row r="401" spans="1:23" x14ac:dyDescent="0.35">
      <c r="A401" s="1">
        <v>400</v>
      </c>
      <c r="B401" t="s">
        <v>1410</v>
      </c>
      <c r="C401" s="2">
        <v>42621</v>
      </c>
      <c r="D401" s="2">
        <v>42623</v>
      </c>
      <c r="E401" s="2" t="str">
        <f t="shared" si="6"/>
        <v>Sep</v>
      </c>
      <c r="F401" s="5">
        <f>YEAR(Table1[[#This Row],[Order Date]])</f>
        <v>2016</v>
      </c>
      <c r="G401" t="s">
        <v>22</v>
      </c>
      <c r="H401" t="s">
        <v>1411</v>
      </c>
      <c r="I401" t="s">
        <v>1412</v>
      </c>
      <c r="J401" t="s">
        <v>25</v>
      </c>
      <c r="K401" t="s">
        <v>26</v>
      </c>
      <c r="L401" t="s">
        <v>183</v>
      </c>
      <c r="M401" t="s">
        <v>103</v>
      </c>
      <c r="N401">
        <v>77036</v>
      </c>
      <c r="O401" t="s">
        <v>104</v>
      </c>
      <c r="P401" t="s">
        <v>165</v>
      </c>
      <c r="Q401" t="s">
        <v>31</v>
      </c>
      <c r="R401" t="s">
        <v>32</v>
      </c>
      <c r="S401" t="s">
        <v>166</v>
      </c>
      <c r="T401">
        <v>2396.2656000000002</v>
      </c>
      <c r="U401">
        <v>4</v>
      </c>
      <c r="V401">
        <v>0.32</v>
      </c>
      <c r="W401">
        <v>-317.15280000000001</v>
      </c>
    </row>
    <row r="402" spans="1:23" x14ac:dyDescent="0.35">
      <c r="A402" s="1">
        <v>401</v>
      </c>
      <c r="B402" t="s">
        <v>1410</v>
      </c>
      <c r="C402" s="2">
        <v>42621</v>
      </c>
      <c r="D402" s="2">
        <v>42623</v>
      </c>
      <c r="E402" s="2" t="str">
        <f t="shared" si="6"/>
        <v>Sep</v>
      </c>
      <c r="F402" s="5">
        <f>YEAR(Table1[[#This Row],[Order Date]])</f>
        <v>2016</v>
      </c>
      <c r="G402" t="s">
        <v>22</v>
      </c>
      <c r="H402" t="s">
        <v>1411</v>
      </c>
      <c r="I402" t="s">
        <v>1412</v>
      </c>
      <c r="J402" t="s">
        <v>25</v>
      </c>
      <c r="K402" t="s">
        <v>26</v>
      </c>
      <c r="L402" t="s">
        <v>183</v>
      </c>
      <c r="M402" t="s">
        <v>103</v>
      </c>
      <c r="N402">
        <v>77036</v>
      </c>
      <c r="O402" t="s">
        <v>104</v>
      </c>
      <c r="P402" t="s">
        <v>1415</v>
      </c>
      <c r="Q402" t="s">
        <v>45</v>
      </c>
      <c r="R402" t="s">
        <v>58</v>
      </c>
      <c r="S402" t="s">
        <v>1416</v>
      </c>
      <c r="T402">
        <v>131.136</v>
      </c>
      <c r="U402">
        <v>4</v>
      </c>
      <c r="V402">
        <v>0.2</v>
      </c>
      <c r="W402">
        <v>-32.783999999999999</v>
      </c>
    </row>
    <row r="403" spans="1:23" x14ac:dyDescent="0.35">
      <c r="A403" s="1">
        <v>402</v>
      </c>
      <c r="B403" t="s">
        <v>1410</v>
      </c>
      <c r="C403" s="2">
        <v>42621</v>
      </c>
      <c r="D403" s="2">
        <v>42623</v>
      </c>
      <c r="E403" s="2" t="str">
        <f t="shared" si="6"/>
        <v>Sep</v>
      </c>
      <c r="F403" s="5">
        <f>YEAR(Table1[[#This Row],[Order Date]])</f>
        <v>2016</v>
      </c>
      <c r="G403" t="s">
        <v>22</v>
      </c>
      <c r="H403" t="s">
        <v>1411</v>
      </c>
      <c r="I403" t="s">
        <v>1412</v>
      </c>
      <c r="J403" t="s">
        <v>25</v>
      </c>
      <c r="K403" t="s">
        <v>26</v>
      </c>
      <c r="L403" t="s">
        <v>183</v>
      </c>
      <c r="M403" t="s">
        <v>103</v>
      </c>
      <c r="N403">
        <v>77036</v>
      </c>
      <c r="O403" t="s">
        <v>104</v>
      </c>
      <c r="P403" t="s">
        <v>1417</v>
      </c>
      <c r="Q403" t="s">
        <v>70</v>
      </c>
      <c r="R403" t="s">
        <v>160</v>
      </c>
      <c r="S403" t="s">
        <v>1418</v>
      </c>
      <c r="T403">
        <v>57.584000000000003</v>
      </c>
      <c r="U403">
        <v>2</v>
      </c>
      <c r="V403">
        <v>0.2</v>
      </c>
      <c r="W403">
        <v>0.7198</v>
      </c>
    </row>
    <row r="404" spans="1:23" x14ac:dyDescent="0.35">
      <c r="A404" s="1">
        <v>403</v>
      </c>
      <c r="B404" t="s">
        <v>1419</v>
      </c>
      <c r="C404" s="2">
        <v>41997</v>
      </c>
      <c r="D404" s="2">
        <v>41999</v>
      </c>
      <c r="E404" s="2" t="str">
        <f t="shared" si="6"/>
        <v>Dec</v>
      </c>
      <c r="F404" s="5">
        <f>YEAR(Table1[[#This Row],[Order Date]])</f>
        <v>2014</v>
      </c>
      <c r="G404" t="s">
        <v>187</v>
      </c>
      <c r="H404" t="s">
        <v>1420</v>
      </c>
      <c r="I404" t="s">
        <v>1421</v>
      </c>
      <c r="J404" t="s">
        <v>25</v>
      </c>
      <c r="K404" t="s">
        <v>26</v>
      </c>
      <c r="L404" t="s">
        <v>1422</v>
      </c>
      <c r="M404" t="s">
        <v>53</v>
      </c>
      <c r="N404">
        <v>33180</v>
      </c>
      <c r="O404" t="s">
        <v>29</v>
      </c>
      <c r="P404" t="s">
        <v>1423</v>
      </c>
      <c r="Q404" t="s">
        <v>45</v>
      </c>
      <c r="R404" t="s">
        <v>89</v>
      </c>
      <c r="S404" t="s">
        <v>1424</v>
      </c>
      <c r="T404">
        <v>9.5679999999999996</v>
      </c>
      <c r="U404">
        <v>2</v>
      </c>
      <c r="V404">
        <v>0.2</v>
      </c>
      <c r="W404">
        <v>3.4683999999999999</v>
      </c>
    </row>
    <row r="405" spans="1:23" x14ac:dyDescent="0.35">
      <c r="A405" s="1">
        <v>404</v>
      </c>
      <c r="B405" t="s">
        <v>1425</v>
      </c>
      <c r="C405" s="2">
        <v>41745</v>
      </c>
      <c r="D405" s="2">
        <v>41749</v>
      </c>
      <c r="E405" s="2" t="str">
        <f t="shared" si="6"/>
        <v>Apr</v>
      </c>
      <c r="F405" s="5">
        <f>YEAR(Table1[[#This Row],[Order Date]])</f>
        <v>2014</v>
      </c>
      <c r="G405" t="s">
        <v>49</v>
      </c>
      <c r="H405" t="s">
        <v>628</v>
      </c>
      <c r="I405" t="s">
        <v>629</v>
      </c>
      <c r="J405" t="s">
        <v>40</v>
      </c>
      <c r="K405" t="s">
        <v>26</v>
      </c>
      <c r="L405" t="s">
        <v>520</v>
      </c>
      <c r="M405" t="s">
        <v>87</v>
      </c>
      <c r="N405">
        <v>28403</v>
      </c>
      <c r="O405" t="s">
        <v>29</v>
      </c>
      <c r="P405" t="s">
        <v>1426</v>
      </c>
      <c r="Q405" t="s">
        <v>45</v>
      </c>
      <c r="R405" t="s">
        <v>67</v>
      </c>
      <c r="S405" t="s">
        <v>1427</v>
      </c>
      <c r="T405">
        <v>39.072000000000003</v>
      </c>
      <c r="U405">
        <v>6</v>
      </c>
      <c r="V405">
        <v>0.2</v>
      </c>
      <c r="W405">
        <v>9.7680000000000007</v>
      </c>
    </row>
    <row r="406" spans="1:23" x14ac:dyDescent="0.35">
      <c r="A406" s="1">
        <v>405</v>
      </c>
      <c r="B406" t="s">
        <v>1428</v>
      </c>
      <c r="C406" s="2">
        <v>43093</v>
      </c>
      <c r="D406" s="2">
        <v>43098</v>
      </c>
      <c r="E406" s="2" t="str">
        <f t="shared" si="6"/>
        <v>Dec</v>
      </c>
      <c r="F406" s="5">
        <f>YEAR(Table1[[#This Row],[Order Date]])</f>
        <v>2017</v>
      </c>
      <c r="G406" t="s">
        <v>49</v>
      </c>
      <c r="H406" t="s">
        <v>1429</v>
      </c>
      <c r="I406" t="s">
        <v>1430</v>
      </c>
      <c r="J406" t="s">
        <v>25</v>
      </c>
      <c r="K406" t="s">
        <v>26</v>
      </c>
      <c r="L406" t="s">
        <v>265</v>
      </c>
      <c r="M406" t="s">
        <v>266</v>
      </c>
      <c r="N406">
        <v>10024</v>
      </c>
      <c r="O406" t="s">
        <v>147</v>
      </c>
      <c r="P406" t="s">
        <v>1431</v>
      </c>
      <c r="Q406" t="s">
        <v>45</v>
      </c>
      <c r="R406" t="s">
        <v>77</v>
      </c>
      <c r="S406" t="s">
        <v>1432</v>
      </c>
      <c r="T406">
        <v>35.909999999999997</v>
      </c>
      <c r="U406">
        <v>3</v>
      </c>
      <c r="V406">
        <v>0</v>
      </c>
      <c r="W406">
        <v>9.6957000000000004</v>
      </c>
    </row>
    <row r="407" spans="1:23" x14ac:dyDescent="0.35">
      <c r="A407" s="1">
        <v>406</v>
      </c>
      <c r="B407" t="s">
        <v>1433</v>
      </c>
      <c r="C407" s="2">
        <v>43077</v>
      </c>
      <c r="D407" s="2">
        <v>43081</v>
      </c>
      <c r="E407" s="2" t="str">
        <f t="shared" si="6"/>
        <v>Dec</v>
      </c>
      <c r="F407" s="5">
        <f>YEAR(Table1[[#This Row],[Order Date]])</f>
        <v>2017</v>
      </c>
      <c r="G407" t="s">
        <v>49</v>
      </c>
      <c r="H407" t="s">
        <v>1434</v>
      </c>
      <c r="I407" t="s">
        <v>1435</v>
      </c>
      <c r="J407" t="s">
        <v>25</v>
      </c>
      <c r="K407" t="s">
        <v>26</v>
      </c>
      <c r="L407" t="s">
        <v>126</v>
      </c>
      <c r="M407" t="s">
        <v>42</v>
      </c>
      <c r="N407">
        <v>94110</v>
      </c>
      <c r="O407" t="s">
        <v>43</v>
      </c>
      <c r="P407" t="s">
        <v>1417</v>
      </c>
      <c r="Q407" t="s">
        <v>70</v>
      </c>
      <c r="R407" t="s">
        <v>160</v>
      </c>
      <c r="S407" t="s">
        <v>1418</v>
      </c>
      <c r="T407">
        <v>179.95</v>
      </c>
      <c r="U407">
        <v>5</v>
      </c>
      <c r="V407">
        <v>0</v>
      </c>
      <c r="W407">
        <v>37.789499999999997</v>
      </c>
    </row>
    <row r="408" spans="1:23" x14ac:dyDescent="0.35">
      <c r="A408" s="1">
        <v>407</v>
      </c>
      <c r="B408" t="s">
        <v>1433</v>
      </c>
      <c r="C408" s="2">
        <v>43077</v>
      </c>
      <c r="D408" s="2">
        <v>43081</v>
      </c>
      <c r="E408" s="2" t="str">
        <f t="shared" si="6"/>
        <v>Dec</v>
      </c>
      <c r="F408" s="5">
        <f>YEAR(Table1[[#This Row],[Order Date]])</f>
        <v>2017</v>
      </c>
      <c r="G408" t="s">
        <v>49</v>
      </c>
      <c r="H408" t="s">
        <v>1434</v>
      </c>
      <c r="I408" t="s">
        <v>1435</v>
      </c>
      <c r="J408" t="s">
        <v>25</v>
      </c>
      <c r="K408" t="s">
        <v>26</v>
      </c>
      <c r="L408" t="s">
        <v>126</v>
      </c>
      <c r="M408" t="s">
        <v>42</v>
      </c>
      <c r="N408">
        <v>94110</v>
      </c>
      <c r="O408" t="s">
        <v>43</v>
      </c>
      <c r="P408" t="s">
        <v>1436</v>
      </c>
      <c r="Q408" t="s">
        <v>70</v>
      </c>
      <c r="R408" t="s">
        <v>1218</v>
      </c>
      <c r="S408" t="s">
        <v>1437</v>
      </c>
      <c r="T408">
        <v>1199.9760000000001</v>
      </c>
      <c r="U408">
        <v>3</v>
      </c>
      <c r="V408">
        <v>0.2</v>
      </c>
      <c r="W408">
        <v>434.99130000000002</v>
      </c>
    </row>
    <row r="409" spans="1:23" x14ac:dyDescent="0.35">
      <c r="A409" s="1">
        <v>408</v>
      </c>
      <c r="B409" t="s">
        <v>1433</v>
      </c>
      <c r="C409" s="2">
        <v>43077</v>
      </c>
      <c r="D409" s="2">
        <v>43081</v>
      </c>
      <c r="E409" s="2" t="str">
        <f t="shared" si="6"/>
        <v>Dec</v>
      </c>
      <c r="F409" s="5">
        <f>YEAR(Table1[[#This Row],[Order Date]])</f>
        <v>2017</v>
      </c>
      <c r="G409" t="s">
        <v>49</v>
      </c>
      <c r="H409" t="s">
        <v>1434</v>
      </c>
      <c r="I409" t="s">
        <v>1435</v>
      </c>
      <c r="J409" t="s">
        <v>25</v>
      </c>
      <c r="K409" t="s">
        <v>26</v>
      </c>
      <c r="L409" t="s">
        <v>126</v>
      </c>
      <c r="M409" t="s">
        <v>42</v>
      </c>
      <c r="N409">
        <v>94110</v>
      </c>
      <c r="O409" t="s">
        <v>43</v>
      </c>
      <c r="P409" t="s">
        <v>1438</v>
      </c>
      <c r="Q409" t="s">
        <v>45</v>
      </c>
      <c r="R409" t="s">
        <v>89</v>
      </c>
      <c r="S409" t="s">
        <v>1439</v>
      </c>
      <c r="T409">
        <v>27.15</v>
      </c>
      <c r="U409">
        <v>5</v>
      </c>
      <c r="V409">
        <v>0</v>
      </c>
      <c r="W409">
        <v>13.3035</v>
      </c>
    </row>
    <row r="410" spans="1:23" x14ac:dyDescent="0.35">
      <c r="A410" s="1">
        <v>409</v>
      </c>
      <c r="B410" t="s">
        <v>1433</v>
      </c>
      <c r="C410" s="2">
        <v>43077</v>
      </c>
      <c r="D410" s="2">
        <v>43081</v>
      </c>
      <c r="E410" s="2" t="str">
        <f t="shared" si="6"/>
        <v>Dec</v>
      </c>
      <c r="F410" s="5">
        <f>YEAR(Table1[[#This Row],[Order Date]])</f>
        <v>2017</v>
      </c>
      <c r="G410" t="s">
        <v>49</v>
      </c>
      <c r="H410" t="s">
        <v>1434</v>
      </c>
      <c r="I410" t="s">
        <v>1435</v>
      </c>
      <c r="J410" t="s">
        <v>25</v>
      </c>
      <c r="K410" t="s">
        <v>26</v>
      </c>
      <c r="L410" t="s">
        <v>126</v>
      </c>
      <c r="M410" t="s">
        <v>42</v>
      </c>
      <c r="N410">
        <v>94110</v>
      </c>
      <c r="O410" t="s">
        <v>43</v>
      </c>
      <c r="P410" t="s">
        <v>1440</v>
      </c>
      <c r="Q410" t="s">
        <v>31</v>
      </c>
      <c r="R410" t="s">
        <v>55</v>
      </c>
      <c r="S410" t="s">
        <v>1441</v>
      </c>
      <c r="T410">
        <v>1004.024</v>
      </c>
      <c r="U410">
        <v>7</v>
      </c>
      <c r="V410">
        <v>0.2</v>
      </c>
      <c r="W410">
        <v>-112.95269999999999</v>
      </c>
    </row>
    <row r="411" spans="1:23" x14ac:dyDescent="0.35">
      <c r="A411" s="1">
        <v>410</v>
      </c>
      <c r="B411" t="s">
        <v>1433</v>
      </c>
      <c r="C411" s="2">
        <v>43077</v>
      </c>
      <c r="D411" s="2">
        <v>43081</v>
      </c>
      <c r="E411" s="2" t="str">
        <f t="shared" si="6"/>
        <v>Dec</v>
      </c>
      <c r="F411" s="5">
        <f>YEAR(Table1[[#This Row],[Order Date]])</f>
        <v>2017</v>
      </c>
      <c r="G411" t="s">
        <v>49</v>
      </c>
      <c r="H411" t="s">
        <v>1434</v>
      </c>
      <c r="I411" t="s">
        <v>1435</v>
      </c>
      <c r="J411" t="s">
        <v>25</v>
      </c>
      <c r="K411" t="s">
        <v>26</v>
      </c>
      <c r="L411" t="s">
        <v>126</v>
      </c>
      <c r="M411" t="s">
        <v>42</v>
      </c>
      <c r="N411">
        <v>94110</v>
      </c>
      <c r="O411" t="s">
        <v>43</v>
      </c>
      <c r="P411" t="s">
        <v>1442</v>
      </c>
      <c r="Q411" t="s">
        <v>45</v>
      </c>
      <c r="R411" t="s">
        <v>89</v>
      </c>
      <c r="S411" t="s">
        <v>1443</v>
      </c>
      <c r="T411">
        <v>9.68</v>
      </c>
      <c r="U411">
        <v>1</v>
      </c>
      <c r="V411">
        <v>0</v>
      </c>
      <c r="W411">
        <v>4.6463999999999999</v>
      </c>
    </row>
    <row r="412" spans="1:23" x14ac:dyDescent="0.35">
      <c r="A412" s="1">
        <v>411</v>
      </c>
      <c r="B412" t="s">
        <v>1433</v>
      </c>
      <c r="C412" s="2">
        <v>43077</v>
      </c>
      <c r="D412" s="2">
        <v>43081</v>
      </c>
      <c r="E412" s="2" t="str">
        <f t="shared" si="6"/>
        <v>Dec</v>
      </c>
      <c r="F412" s="5">
        <f>YEAR(Table1[[#This Row],[Order Date]])</f>
        <v>2017</v>
      </c>
      <c r="G412" t="s">
        <v>49</v>
      </c>
      <c r="H412" t="s">
        <v>1434</v>
      </c>
      <c r="I412" t="s">
        <v>1435</v>
      </c>
      <c r="J412" t="s">
        <v>25</v>
      </c>
      <c r="K412" t="s">
        <v>26</v>
      </c>
      <c r="L412" t="s">
        <v>126</v>
      </c>
      <c r="M412" t="s">
        <v>42</v>
      </c>
      <c r="N412">
        <v>94110</v>
      </c>
      <c r="O412" t="s">
        <v>43</v>
      </c>
      <c r="P412" t="s">
        <v>1444</v>
      </c>
      <c r="Q412" t="s">
        <v>45</v>
      </c>
      <c r="R412" t="s">
        <v>46</v>
      </c>
      <c r="S412" t="s">
        <v>1445</v>
      </c>
      <c r="T412">
        <v>28.35</v>
      </c>
      <c r="U412">
        <v>9</v>
      </c>
      <c r="V412">
        <v>0</v>
      </c>
      <c r="W412">
        <v>13.608000000000001</v>
      </c>
    </row>
    <row r="413" spans="1:23" x14ac:dyDescent="0.35">
      <c r="A413" s="1">
        <v>412</v>
      </c>
      <c r="B413" t="s">
        <v>1433</v>
      </c>
      <c r="C413" s="2">
        <v>43077</v>
      </c>
      <c r="D413" s="2">
        <v>43081</v>
      </c>
      <c r="E413" s="2" t="str">
        <f t="shared" si="6"/>
        <v>Dec</v>
      </c>
      <c r="F413" s="5">
        <f>YEAR(Table1[[#This Row],[Order Date]])</f>
        <v>2017</v>
      </c>
      <c r="G413" t="s">
        <v>49</v>
      </c>
      <c r="H413" t="s">
        <v>1434</v>
      </c>
      <c r="I413" t="s">
        <v>1435</v>
      </c>
      <c r="J413" t="s">
        <v>25</v>
      </c>
      <c r="K413" t="s">
        <v>26</v>
      </c>
      <c r="L413" t="s">
        <v>126</v>
      </c>
      <c r="M413" t="s">
        <v>42</v>
      </c>
      <c r="N413">
        <v>94110</v>
      </c>
      <c r="O413" t="s">
        <v>43</v>
      </c>
      <c r="P413" t="s">
        <v>1253</v>
      </c>
      <c r="Q413" t="s">
        <v>45</v>
      </c>
      <c r="R413" t="s">
        <v>89</v>
      </c>
      <c r="S413" t="s">
        <v>1446</v>
      </c>
      <c r="T413">
        <v>55.98</v>
      </c>
      <c r="U413">
        <v>1</v>
      </c>
      <c r="V413">
        <v>0</v>
      </c>
      <c r="W413">
        <v>27.430199999999999</v>
      </c>
    </row>
    <row r="414" spans="1:23" x14ac:dyDescent="0.35">
      <c r="A414" s="1">
        <v>413</v>
      </c>
      <c r="B414" t="s">
        <v>1433</v>
      </c>
      <c r="C414" s="2">
        <v>43077</v>
      </c>
      <c r="D414" s="2">
        <v>43081</v>
      </c>
      <c r="E414" s="2" t="str">
        <f t="shared" si="6"/>
        <v>Dec</v>
      </c>
      <c r="F414" s="5">
        <f>YEAR(Table1[[#This Row],[Order Date]])</f>
        <v>2017</v>
      </c>
      <c r="G414" t="s">
        <v>49</v>
      </c>
      <c r="H414" t="s">
        <v>1434</v>
      </c>
      <c r="I414" t="s">
        <v>1435</v>
      </c>
      <c r="J414" t="s">
        <v>25</v>
      </c>
      <c r="K414" t="s">
        <v>26</v>
      </c>
      <c r="L414" t="s">
        <v>126</v>
      </c>
      <c r="M414" t="s">
        <v>42</v>
      </c>
      <c r="N414">
        <v>94110</v>
      </c>
      <c r="O414" t="s">
        <v>43</v>
      </c>
      <c r="P414" t="s">
        <v>1447</v>
      </c>
      <c r="Q414" t="s">
        <v>31</v>
      </c>
      <c r="R414" t="s">
        <v>32</v>
      </c>
      <c r="S414" t="s">
        <v>1448</v>
      </c>
      <c r="T414">
        <v>1336.829</v>
      </c>
      <c r="U414">
        <v>13</v>
      </c>
      <c r="V414">
        <v>0.15</v>
      </c>
      <c r="W414">
        <v>31.454799999999999</v>
      </c>
    </row>
    <row r="415" spans="1:23" x14ac:dyDescent="0.35">
      <c r="A415" s="1">
        <v>414</v>
      </c>
      <c r="B415" t="s">
        <v>1433</v>
      </c>
      <c r="C415" s="2">
        <v>43077</v>
      </c>
      <c r="D415" s="2">
        <v>43081</v>
      </c>
      <c r="E415" s="2" t="str">
        <f t="shared" si="6"/>
        <v>Dec</v>
      </c>
      <c r="F415" s="5">
        <f>YEAR(Table1[[#This Row],[Order Date]])</f>
        <v>2017</v>
      </c>
      <c r="G415" t="s">
        <v>49</v>
      </c>
      <c r="H415" t="s">
        <v>1434</v>
      </c>
      <c r="I415" t="s">
        <v>1435</v>
      </c>
      <c r="J415" t="s">
        <v>25</v>
      </c>
      <c r="K415" t="s">
        <v>26</v>
      </c>
      <c r="L415" t="s">
        <v>126</v>
      </c>
      <c r="M415" t="s">
        <v>42</v>
      </c>
      <c r="N415">
        <v>94110</v>
      </c>
      <c r="O415" t="s">
        <v>43</v>
      </c>
      <c r="P415" t="s">
        <v>1449</v>
      </c>
      <c r="Q415" t="s">
        <v>31</v>
      </c>
      <c r="R415" t="s">
        <v>35</v>
      </c>
      <c r="S415" t="s">
        <v>1450</v>
      </c>
      <c r="T415">
        <v>113.568</v>
      </c>
      <c r="U415">
        <v>2</v>
      </c>
      <c r="V415">
        <v>0.2</v>
      </c>
      <c r="W415">
        <v>-18.454799999999999</v>
      </c>
    </row>
    <row r="416" spans="1:23" x14ac:dyDescent="0.35">
      <c r="A416" s="1">
        <v>415</v>
      </c>
      <c r="B416" t="s">
        <v>1451</v>
      </c>
      <c r="C416" s="2">
        <v>43042</v>
      </c>
      <c r="D416" s="2">
        <v>43046</v>
      </c>
      <c r="E416" s="2" t="str">
        <f t="shared" si="6"/>
        <v>Nov</v>
      </c>
      <c r="F416" s="5">
        <f>YEAR(Table1[[#This Row],[Order Date]])</f>
        <v>2017</v>
      </c>
      <c r="G416" t="s">
        <v>49</v>
      </c>
      <c r="H416" t="s">
        <v>1452</v>
      </c>
      <c r="I416" t="s">
        <v>1453</v>
      </c>
      <c r="J416" t="s">
        <v>40</v>
      </c>
      <c r="K416" t="s">
        <v>26</v>
      </c>
      <c r="L416" t="s">
        <v>94</v>
      </c>
      <c r="M416" t="s">
        <v>95</v>
      </c>
      <c r="N416">
        <v>98105</v>
      </c>
      <c r="O416" t="s">
        <v>43</v>
      </c>
      <c r="P416" t="s">
        <v>1454</v>
      </c>
      <c r="Q416" t="s">
        <v>45</v>
      </c>
      <c r="R416" t="s">
        <v>89</v>
      </c>
      <c r="S416" t="s">
        <v>1455</v>
      </c>
      <c r="T416">
        <v>139.86000000000001</v>
      </c>
      <c r="U416">
        <v>7</v>
      </c>
      <c r="V416">
        <v>0</v>
      </c>
      <c r="W416">
        <v>65.734200000000001</v>
      </c>
    </row>
    <row r="417" spans="1:23" x14ac:dyDescent="0.35">
      <c r="A417" s="1">
        <v>416</v>
      </c>
      <c r="B417" t="s">
        <v>1451</v>
      </c>
      <c r="C417" s="2">
        <v>43042</v>
      </c>
      <c r="D417" s="2">
        <v>43046</v>
      </c>
      <c r="E417" s="2" t="str">
        <f t="shared" si="6"/>
        <v>Nov</v>
      </c>
      <c r="F417" s="5">
        <f>YEAR(Table1[[#This Row],[Order Date]])</f>
        <v>2017</v>
      </c>
      <c r="G417" t="s">
        <v>49</v>
      </c>
      <c r="H417" t="s">
        <v>1452</v>
      </c>
      <c r="I417" t="s">
        <v>1453</v>
      </c>
      <c r="J417" t="s">
        <v>40</v>
      </c>
      <c r="K417" t="s">
        <v>26</v>
      </c>
      <c r="L417" t="s">
        <v>94</v>
      </c>
      <c r="M417" t="s">
        <v>95</v>
      </c>
      <c r="N417">
        <v>98105</v>
      </c>
      <c r="O417" t="s">
        <v>43</v>
      </c>
      <c r="P417" t="s">
        <v>1086</v>
      </c>
      <c r="Q417" t="s">
        <v>31</v>
      </c>
      <c r="R417" t="s">
        <v>35</v>
      </c>
      <c r="S417" t="s">
        <v>1087</v>
      </c>
      <c r="T417">
        <v>307.13600000000002</v>
      </c>
      <c r="U417">
        <v>4</v>
      </c>
      <c r="V417">
        <v>0.2</v>
      </c>
      <c r="W417">
        <v>26.874400000000001</v>
      </c>
    </row>
    <row r="418" spans="1:23" x14ac:dyDescent="0.35">
      <c r="A418" s="1">
        <v>417</v>
      </c>
      <c r="B418" t="s">
        <v>1456</v>
      </c>
      <c r="C418" s="2">
        <v>42910</v>
      </c>
      <c r="D418" s="2">
        <v>42914</v>
      </c>
      <c r="E418" s="2" t="str">
        <f t="shared" si="6"/>
        <v>Jun</v>
      </c>
      <c r="F418" s="5">
        <f>YEAR(Table1[[#This Row],[Order Date]])</f>
        <v>2017</v>
      </c>
      <c r="G418" t="s">
        <v>49</v>
      </c>
      <c r="H418" t="s">
        <v>1457</v>
      </c>
      <c r="I418" t="s">
        <v>1458</v>
      </c>
      <c r="J418" t="s">
        <v>25</v>
      </c>
      <c r="K418" t="s">
        <v>26</v>
      </c>
      <c r="L418" t="s">
        <v>1459</v>
      </c>
      <c r="M418" t="s">
        <v>42</v>
      </c>
      <c r="N418">
        <v>92646</v>
      </c>
      <c r="O418" t="s">
        <v>43</v>
      </c>
      <c r="P418" t="s">
        <v>1460</v>
      </c>
      <c r="Q418" t="s">
        <v>45</v>
      </c>
      <c r="R418" t="s">
        <v>67</v>
      </c>
      <c r="S418" t="s">
        <v>1461</v>
      </c>
      <c r="T418">
        <v>95.92</v>
      </c>
      <c r="U418">
        <v>8</v>
      </c>
      <c r="V418">
        <v>0</v>
      </c>
      <c r="W418">
        <v>25.898399999999999</v>
      </c>
    </row>
    <row r="419" spans="1:23" x14ac:dyDescent="0.35">
      <c r="A419" s="1">
        <v>418</v>
      </c>
      <c r="B419" t="s">
        <v>1462</v>
      </c>
      <c r="C419" s="2">
        <v>42474</v>
      </c>
      <c r="D419" s="2">
        <v>42478</v>
      </c>
      <c r="E419" s="2" t="str">
        <f t="shared" si="6"/>
        <v>Apr</v>
      </c>
      <c r="F419" s="5">
        <f>YEAR(Table1[[#This Row],[Order Date]])</f>
        <v>2016</v>
      </c>
      <c r="G419" t="s">
        <v>49</v>
      </c>
      <c r="H419" t="s">
        <v>1463</v>
      </c>
      <c r="I419" t="s">
        <v>1464</v>
      </c>
      <c r="J419" t="s">
        <v>25</v>
      </c>
      <c r="K419" t="s">
        <v>26</v>
      </c>
      <c r="L419" t="s">
        <v>41</v>
      </c>
      <c r="M419" t="s">
        <v>42</v>
      </c>
      <c r="N419">
        <v>90004</v>
      </c>
      <c r="O419" t="s">
        <v>43</v>
      </c>
      <c r="P419" t="s">
        <v>1465</v>
      </c>
      <c r="Q419" t="s">
        <v>31</v>
      </c>
      <c r="R419" t="s">
        <v>35</v>
      </c>
      <c r="S419" t="s">
        <v>1466</v>
      </c>
      <c r="T419">
        <v>383.8</v>
      </c>
      <c r="U419">
        <v>5</v>
      </c>
      <c r="V419">
        <v>0.2</v>
      </c>
      <c r="W419">
        <v>38.380000000000003</v>
      </c>
    </row>
    <row r="420" spans="1:23" x14ac:dyDescent="0.35">
      <c r="A420" s="1">
        <v>419</v>
      </c>
      <c r="B420" t="s">
        <v>1467</v>
      </c>
      <c r="C420" s="2">
        <v>43045</v>
      </c>
      <c r="D420" s="2">
        <v>43049</v>
      </c>
      <c r="E420" s="2" t="str">
        <f t="shared" si="6"/>
        <v>Nov</v>
      </c>
      <c r="F420" s="5">
        <f>YEAR(Table1[[#This Row],[Order Date]])</f>
        <v>2017</v>
      </c>
      <c r="G420" t="s">
        <v>49</v>
      </c>
      <c r="H420" t="s">
        <v>1272</v>
      </c>
      <c r="I420" t="s">
        <v>1273</v>
      </c>
      <c r="J420" t="s">
        <v>40</v>
      </c>
      <c r="K420" t="s">
        <v>26</v>
      </c>
      <c r="L420" t="s">
        <v>1468</v>
      </c>
      <c r="M420" t="s">
        <v>28</v>
      </c>
      <c r="N420">
        <v>40475</v>
      </c>
      <c r="O420" t="s">
        <v>29</v>
      </c>
      <c r="P420" t="s">
        <v>1469</v>
      </c>
      <c r="Q420" t="s">
        <v>45</v>
      </c>
      <c r="R420" t="s">
        <v>89</v>
      </c>
      <c r="S420" t="s">
        <v>1470</v>
      </c>
      <c r="T420">
        <v>5.78</v>
      </c>
      <c r="U420">
        <v>1</v>
      </c>
      <c r="V420">
        <v>0</v>
      </c>
      <c r="W420">
        <v>2.8321999999999998</v>
      </c>
    </row>
    <row r="421" spans="1:23" x14ac:dyDescent="0.35">
      <c r="A421" s="1">
        <v>420</v>
      </c>
      <c r="B421" t="s">
        <v>1471</v>
      </c>
      <c r="C421" s="2">
        <v>42798</v>
      </c>
      <c r="D421" s="2">
        <v>42803</v>
      </c>
      <c r="E421" s="2" t="str">
        <f t="shared" si="6"/>
        <v>Mar</v>
      </c>
      <c r="F421" s="5">
        <f>YEAR(Table1[[#This Row],[Order Date]])</f>
        <v>2017</v>
      </c>
      <c r="G421" t="s">
        <v>49</v>
      </c>
      <c r="H421" t="s">
        <v>1159</v>
      </c>
      <c r="I421" t="s">
        <v>1160</v>
      </c>
      <c r="J421" t="s">
        <v>40</v>
      </c>
      <c r="K421" t="s">
        <v>26</v>
      </c>
      <c r="L421" t="s">
        <v>41</v>
      </c>
      <c r="M421" t="s">
        <v>42</v>
      </c>
      <c r="N421">
        <v>90045</v>
      </c>
      <c r="O421" t="s">
        <v>43</v>
      </c>
      <c r="P421" t="s">
        <v>1472</v>
      </c>
      <c r="Q421" t="s">
        <v>45</v>
      </c>
      <c r="R421" t="s">
        <v>67</v>
      </c>
      <c r="S421" t="s">
        <v>1473</v>
      </c>
      <c r="T421">
        <v>9.32</v>
      </c>
      <c r="U421">
        <v>4</v>
      </c>
      <c r="V421">
        <v>0</v>
      </c>
      <c r="W421">
        <v>2.7027999999999999</v>
      </c>
    </row>
    <row r="422" spans="1:23" x14ac:dyDescent="0.35">
      <c r="A422" s="1">
        <v>421</v>
      </c>
      <c r="B422" t="s">
        <v>1471</v>
      </c>
      <c r="C422" s="2">
        <v>42798</v>
      </c>
      <c r="D422" s="2">
        <v>42803</v>
      </c>
      <c r="E422" s="2" t="str">
        <f t="shared" si="6"/>
        <v>Mar</v>
      </c>
      <c r="F422" s="5">
        <f>YEAR(Table1[[#This Row],[Order Date]])</f>
        <v>2017</v>
      </c>
      <c r="G422" t="s">
        <v>49</v>
      </c>
      <c r="H422" t="s">
        <v>1159</v>
      </c>
      <c r="I422" t="s">
        <v>1160</v>
      </c>
      <c r="J422" t="s">
        <v>40</v>
      </c>
      <c r="K422" t="s">
        <v>26</v>
      </c>
      <c r="L422" t="s">
        <v>41</v>
      </c>
      <c r="M422" t="s">
        <v>42</v>
      </c>
      <c r="N422">
        <v>90045</v>
      </c>
      <c r="O422" t="s">
        <v>43</v>
      </c>
      <c r="P422" t="s">
        <v>1474</v>
      </c>
      <c r="Q422" t="s">
        <v>45</v>
      </c>
      <c r="R422" t="s">
        <v>172</v>
      </c>
      <c r="S422" t="s">
        <v>1475</v>
      </c>
      <c r="T422">
        <v>15.25</v>
      </c>
      <c r="U422">
        <v>1</v>
      </c>
      <c r="V422">
        <v>0</v>
      </c>
      <c r="W422">
        <v>7.0149999999999997</v>
      </c>
    </row>
    <row r="423" spans="1:23" x14ac:dyDescent="0.35">
      <c r="A423" s="1">
        <v>422</v>
      </c>
      <c r="B423" t="s">
        <v>1476</v>
      </c>
      <c r="C423" s="2">
        <v>41812</v>
      </c>
      <c r="D423" s="2">
        <v>41815</v>
      </c>
      <c r="E423" s="2" t="str">
        <f t="shared" si="6"/>
        <v>Jun</v>
      </c>
      <c r="F423" s="5">
        <f>YEAR(Table1[[#This Row],[Order Date]])</f>
        <v>2014</v>
      </c>
      <c r="G423" t="s">
        <v>187</v>
      </c>
      <c r="H423" t="s">
        <v>331</v>
      </c>
      <c r="I423" t="s">
        <v>332</v>
      </c>
      <c r="J423" t="s">
        <v>25</v>
      </c>
      <c r="K423" t="s">
        <v>26</v>
      </c>
      <c r="L423" t="s">
        <v>1477</v>
      </c>
      <c r="M423" t="s">
        <v>456</v>
      </c>
      <c r="N423">
        <v>80027</v>
      </c>
      <c r="O423" t="s">
        <v>43</v>
      </c>
      <c r="P423" t="s">
        <v>1478</v>
      </c>
      <c r="Q423" t="s">
        <v>70</v>
      </c>
      <c r="R423" t="s">
        <v>160</v>
      </c>
      <c r="S423" t="s">
        <v>1479</v>
      </c>
      <c r="T423">
        <v>196.75200000000001</v>
      </c>
      <c r="U423">
        <v>6</v>
      </c>
      <c r="V423">
        <v>0.2</v>
      </c>
      <c r="W423">
        <v>56.566200000000002</v>
      </c>
    </row>
    <row r="424" spans="1:23" x14ac:dyDescent="0.35">
      <c r="A424" s="1">
        <v>423</v>
      </c>
      <c r="B424" t="s">
        <v>1480</v>
      </c>
      <c r="C424" s="2">
        <v>43027</v>
      </c>
      <c r="D424" s="2">
        <v>43031</v>
      </c>
      <c r="E424" s="2" t="str">
        <f t="shared" si="6"/>
        <v>Oct</v>
      </c>
      <c r="F424" s="5">
        <f>YEAR(Table1[[#This Row],[Order Date]])</f>
        <v>2017</v>
      </c>
      <c r="G424" t="s">
        <v>49</v>
      </c>
      <c r="H424" t="s">
        <v>1481</v>
      </c>
      <c r="I424" t="s">
        <v>1482</v>
      </c>
      <c r="J424" t="s">
        <v>40</v>
      </c>
      <c r="K424" t="s">
        <v>26</v>
      </c>
      <c r="L424" t="s">
        <v>1483</v>
      </c>
      <c r="M424" t="s">
        <v>1247</v>
      </c>
      <c r="N424">
        <v>1841</v>
      </c>
      <c r="O424" t="s">
        <v>147</v>
      </c>
      <c r="P424" t="s">
        <v>1484</v>
      </c>
      <c r="Q424" t="s">
        <v>31</v>
      </c>
      <c r="R424" t="s">
        <v>64</v>
      </c>
      <c r="S424" t="s">
        <v>1485</v>
      </c>
      <c r="T424">
        <v>56.56</v>
      </c>
      <c r="U424">
        <v>4</v>
      </c>
      <c r="V424">
        <v>0</v>
      </c>
      <c r="W424">
        <v>14.7056</v>
      </c>
    </row>
    <row r="425" spans="1:23" x14ac:dyDescent="0.35">
      <c r="A425" s="1">
        <v>424</v>
      </c>
      <c r="B425" t="s">
        <v>1480</v>
      </c>
      <c r="C425" s="2">
        <v>43027</v>
      </c>
      <c r="D425" s="2">
        <v>43031</v>
      </c>
      <c r="E425" s="2" t="str">
        <f t="shared" si="6"/>
        <v>Oct</v>
      </c>
      <c r="F425" s="5">
        <f>YEAR(Table1[[#This Row],[Order Date]])</f>
        <v>2017</v>
      </c>
      <c r="G425" t="s">
        <v>49</v>
      </c>
      <c r="H425" t="s">
        <v>1481</v>
      </c>
      <c r="I425" t="s">
        <v>1482</v>
      </c>
      <c r="J425" t="s">
        <v>40</v>
      </c>
      <c r="K425" t="s">
        <v>26</v>
      </c>
      <c r="L425" t="s">
        <v>1483</v>
      </c>
      <c r="M425" t="s">
        <v>1247</v>
      </c>
      <c r="N425">
        <v>1841</v>
      </c>
      <c r="O425" t="s">
        <v>147</v>
      </c>
      <c r="P425" t="s">
        <v>1486</v>
      </c>
      <c r="Q425" t="s">
        <v>45</v>
      </c>
      <c r="R425" t="s">
        <v>58</v>
      </c>
      <c r="S425" t="s">
        <v>1487</v>
      </c>
      <c r="T425">
        <v>32.700000000000003</v>
      </c>
      <c r="U425">
        <v>3</v>
      </c>
      <c r="V425">
        <v>0</v>
      </c>
      <c r="W425">
        <v>8.5020000000000007</v>
      </c>
    </row>
    <row r="426" spans="1:23" x14ac:dyDescent="0.35">
      <c r="A426" s="1">
        <v>425</v>
      </c>
      <c r="B426" t="s">
        <v>1488</v>
      </c>
      <c r="C426" s="2">
        <v>42968</v>
      </c>
      <c r="D426" s="2">
        <v>42970</v>
      </c>
      <c r="E426" s="2" t="str">
        <f t="shared" si="6"/>
        <v>Aug</v>
      </c>
      <c r="F426" s="5">
        <f>YEAR(Table1[[#This Row],[Order Date]])</f>
        <v>2017</v>
      </c>
      <c r="G426" t="s">
        <v>22</v>
      </c>
      <c r="H426" t="s">
        <v>1489</v>
      </c>
      <c r="I426" t="s">
        <v>1490</v>
      </c>
      <c r="J426" t="s">
        <v>25</v>
      </c>
      <c r="K426" t="s">
        <v>26</v>
      </c>
      <c r="L426" t="s">
        <v>327</v>
      </c>
      <c r="M426" t="s">
        <v>1491</v>
      </c>
      <c r="N426">
        <v>39212</v>
      </c>
      <c r="O426" t="s">
        <v>29</v>
      </c>
      <c r="P426" t="s">
        <v>1492</v>
      </c>
      <c r="Q426" t="s">
        <v>31</v>
      </c>
      <c r="R426" t="s">
        <v>35</v>
      </c>
      <c r="S426" t="s">
        <v>1493</v>
      </c>
      <c r="T426">
        <v>866.4</v>
      </c>
      <c r="U426">
        <v>4</v>
      </c>
      <c r="V426">
        <v>0</v>
      </c>
      <c r="W426">
        <v>225.26400000000001</v>
      </c>
    </row>
    <row r="427" spans="1:23" x14ac:dyDescent="0.35">
      <c r="A427" s="1">
        <v>426</v>
      </c>
      <c r="B427" t="s">
        <v>1494</v>
      </c>
      <c r="C427" s="2">
        <v>43062</v>
      </c>
      <c r="D427" s="2">
        <v>43065</v>
      </c>
      <c r="E427" s="2" t="str">
        <f t="shared" si="6"/>
        <v>Nov</v>
      </c>
      <c r="F427" s="5">
        <f>YEAR(Table1[[#This Row],[Order Date]])</f>
        <v>2017</v>
      </c>
      <c r="G427" t="s">
        <v>22</v>
      </c>
      <c r="H427" t="s">
        <v>263</v>
      </c>
      <c r="I427" t="s">
        <v>264</v>
      </c>
      <c r="J427" t="s">
        <v>40</v>
      </c>
      <c r="K427" t="s">
        <v>26</v>
      </c>
      <c r="L427" t="s">
        <v>1495</v>
      </c>
      <c r="M427" t="s">
        <v>237</v>
      </c>
      <c r="N427">
        <v>48187</v>
      </c>
      <c r="O427" t="s">
        <v>104</v>
      </c>
      <c r="P427" t="s">
        <v>1496</v>
      </c>
      <c r="Q427" t="s">
        <v>31</v>
      </c>
      <c r="R427" t="s">
        <v>64</v>
      </c>
      <c r="S427" t="s">
        <v>1497</v>
      </c>
      <c r="T427">
        <v>28.4</v>
      </c>
      <c r="U427">
        <v>2</v>
      </c>
      <c r="V427">
        <v>0</v>
      </c>
      <c r="W427">
        <v>11.076000000000001</v>
      </c>
    </row>
    <row r="428" spans="1:23" x14ac:dyDescent="0.35">
      <c r="A428" s="1">
        <v>427</v>
      </c>
      <c r="B428" t="s">
        <v>1494</v>
      </c>
      <c r="C428" s="2">
        <v>43062</v>
      </c>
      <c r="D428" s="2">
        <v>43065</v>
      </c>
      <c r="E428" s="2" t="str">
        <f t="shared" si="6"/>
        <v>Nov</v>
      </c>
      <c r="F428" s="5">
        <f>YEAR(Table1[[#This Row],[Order Date]])</f>
        <v>2017</v>
      </c>
      <c r="G428" t="s">
        <v>22</v>
      </c>
      <c r="H428" t="s">
        <v>263</v>
      </c>
      <c r="I428" t="s">
        <v>264</v>
      </c>
      <c r="J428" t="s">
        <v>40</v>
      </c>
      <c r="K428" t="s">
        <v>26</v>
      </c>
      <c r="L428" t="s">
        <v>1495</v>
      </c>
      <c r="M428" t="s">
        <v>237</v>
      </c>
      <c r="N428">
        <v>48187</v>
      </c>
      <c r="O428" t="s">
        <v>104</v>
      </c>
      <c r="P428" t="s">
        <v>1498</v>
      </c>
      <c r="Q428" t="s">
        <v>45</v>
      </c>
      <c r="R428" t="s">
        <v>74</v>
      </c>
      <c r="S428" t="s">
        <v>1499</v>
      </c>
      <c r="T428">
        <v>287.92</v>
      </c>
      <c r="U428">
        <v>8</v>
      </c>
      <c r="V428">
        <v>0</v>
      </c>
      <c r="W428">
        <v>138.20160000000001</v>
      </c>
    </row>
    <row r="429" spans="1:23" x14ac:dyDescent="0.35">
      <c r="A429" s="1">
        <v>428</v>
      </c>
      <c r="B429" t="s">
        <v>1500</v>
      </c>
      <c r="C429" s="2">
        <v>41894</v>
      </c>
      <c r="D429" s="2">
        <v>41895</v>
      </c>
      <c r="E429" s="2" t="str">
        <f t="shared" si="6"/>
        <v>Sep</v>
      </c>
      <c r="F429" s="5">
        <f>YEAR(Table1[[#This Row],[Order Date]])</f>
        <v>2014</v>
      </c>
      <c r="G429" t="s">
        <v>187</v>
      </c>
      <c r="H429" t="s">
        <v>1501</v>
      </c>
      <c r="I429" t="s">
        <v>1502</v>
      </c>
      <c r="J429" t="s">
        <v>101</v>
      </c>
      <c r="K429" t="s">
        <v>26</v>
      </c>
      <c r="L429" t="s">
        <v>1503</v>
      </c>
      <c r="M429" t="s">
        <v>266</v>
      </c>
      <c r="N429">
        <v>10801</v>
      </c>
      <c r="O429" t="s">
        <v>147</v>
      </c>
      <c r="P429" t="s">
        <v>1504</v>
      </c>
      <c r="Q429" t="s">
        <v>70</v>
      </c>
      <c r="R429" t="s">
        <v>683</v>
      </c>
      <c r="S429" t="s">
        <v>1505</v>
      </c>
      <c r="T429">
        <v>69.989999999999995</v>
      </c>
      <c r="U429">
        <v>1</v>
      </c>
      <c r="V429">
        <v>0</v>
      </c>
      <c r="W429">
        <v>30.095700000000001</v>
      </c>
    </row>
    <row r="430" spans="1:23" x14ac:dyDescent="0.35">
      <c r="A430" s="1">
        <v>429</v>
      </c>
      <c r="B430" t="s">
        <v>1506</v>
      </c>
      <c r="C430" s="2">
        <v>43009</v>
      </c>
      <c r="D430" s="2">
        <v>43016</v>
      </c>
      <c r="E430" s="2" t="str">
        <f t="shared" si="6"/>
        <v>Oct</v>
      </c>
      <c r="F430" s="5">
        <f>YEAR(Table1[[#This Row],[Order Date]])</f>
        <v>2017</v>
      </c>
      <c r="G430" t="s">
        <v>49</v>
      </c>
      <c r="H430" t="s">
        <v>1507</v>
      </c>
      <c r="I430" t="s">
        <v>1508</v>
      </c>
      <c r="J430" t="s">
        <v>40</v>
      </c>
      <c r="K430" t="s">
        <v>26</v>
      </c>
      <c r="L430" t="s">
        <v>679</v>
      </c>
      <c r="M430" t="s">
        <v>103</v>
      </c>
      <c r="N430">
        <v>78207</v>
      </c>
      <c r="O430" t="s">
        <v>104</v>
      </c>
      <c r="P430" t="s">
        <v>1509</v>
      </c>
      <c r="Q430" t="s">
        <v>45</v>
      </c>
      <c r="R430" t="s">
        <v>67</v>
      </c>
      <c r="S430" t="s">
        <v>1510</v>
      </c>
      <c r="T430">
        <v>6.6719999999999997</v>
      </c>
      <c r="U430">
        <v>6</v>
      </c>
      <c r="V430">
        <v>0.2</v>
      </c>
      <c r="W430">
        <v>0.50039999999999996</v>
      </c>
    </row>
    <row r="431" spans="1:23" x14ac:dyDescent="0.35">
      <c r="A431" s="1">
        <v>430</v>
      </c>
      <c r="B431" t="s">
        <v>1511</v>
      </c>
      <c r="C431" s="2">
        <v>42475</v>
      </c>
      <c r="D431" s="2">
        <v>42481</v>
      </c>
      <c r="E431" s="2" t="str">
        <f t="shared" si="6"/>
        <v>Apr</v>
      </c>
      <c r="F431" s="5">
        <f>YEAR(Table1[[#This Row],[Order Date]])</f>
        <v>2016</v>
      </c>
      <c r="G431" t="s">
        <v>49</v>
      </c>
      <c r="H431" t="s">
        <v>1512</v>
      </c>
      <c r="I431" t="s">
        <v>1513</v>
      </c>
      <c r="J431" t="s">
        <v>101</v>
      </c>
      <c r="K431" t="s">
        <v>26</v>
      </c>
      <c r="L431" t="s">
        <v>1514</v>
      </c>
      <c r="M431" t="s">
        <v>87</v>
      </c>
      <c r="N431">
        <v>28052</v>
      </c>
      <c r="O431" t="s">
        <v>29</v>
      </c>
      <c r="P431" t="s">
        <v>1515</v>
      </c>
      <c r="Q431" t="s">
        <v>45</v>
      </c>
      <c r="R431" t="s">
        <v>74</v>
      </c>
      <c r="S431" t="s">
        <v>1516</v>
      </c>
      <c r="T431">
        <v>189.58799999999999</v>
      </c>
      <c r="U431">
        <v>2</v>
      </c>
      <c r="V431">
        <v>0.7</v>
      </c>
      <c r="W431">
        <v>-145.35079999999999</v>
      </c>
    </row>
    <row r="432" spans="1:23" x14ac:dyDescent="0.35">
      <c r="A432" s="1">
        <v>431</v>
      </c>
      <c r="B432" t="s">
        <v>1511</v>
      </c>
      <c r="C432" s="2">
        <v>42475</v>
      </c>
      <c r="D432" s="2">
        <v>42481</v>
      </c>
      <c r="E432" s="2" t="str">
        <f t="shared" si="6"/>
        <v>Apr</v>
      </c>
      <c r="F432" s="5">
        <f>YEAR(Table1[[#This Row],[Order Date]])</f>
        <v>2016</v>
      </c>
      <c r="G432" t="s">
        <v>49</v>
      </c>
      <c r="H432" t="s">
        <v>1512</v>
      </c>
      <c r="I432" t="s">
        <v>1513</v>
      </c>
      <c r="J432" t="s">
        <v>101</v>
      </c>
      <c r="K432" t="s">
        <v>26</v>
      </c>
      <c r="L432" t="s">
        <v>1514</v>
      </c>
      <c r="M432" t="s">
        <v>87</v>
      </c>
      <c r="N432">
        <v>28052</v>
      </c>
      <c r="O432" t="s">
        <v>29</v>
      </c>
      <c r="P432" t="s">
        <v>731</v>
      </c>
      <c r="Q432" t="s">
        <v>70</v>
      </c>
      <c r="R432" t="s">
        <v>160</v>
      </c>
      <c r="S432" t="s">
        <v>732</v>
      </c>
      <c r="T432">
        <v>408.74400000000003</v>
      </c>
      <c r="U432">
        <v>7</v>
      </c>
      <c r="V432">
        <v>0.2</v>
      </c>
      <c r="W432">
        <v>76.639499999999998</v>
      </c>
    </row>
    <row r="433" spans="1:23" x14ac:dyDescent="0.35">
      <c r="A433" s="1">
        <v>432</v>
      </c>
      <c r="B433" t="s">
        <v>1511</v>
      </c>
      <c r="C433" s="2">
        <v>42475</v>
      </c>
      <c r="D433" s="2">
        <v>42481</v>
      </c>
      <c r="E433" s="2" t="str">
        <f t="shared" si="6"/>
        <v>Apr</v>
      </c>
      <c r="F433" s="5">
        <f>YEAR(Table1[[#This Row],[Order Date]])</f>
        <v>2016</v>
      </c>
      <c r="G433" t="s">
        <v>49</v>
      </c>
      <c r="H433" t="s">
        <v>1512</v>
      </c>
      <c r="I433" t="s">
        <v>1513</v>
      </c>
      <c r="J433" t="s">
        <v>101</v>
      </c>
      <c r="K433" t="s">
        <v>26</v>
      </c>
      <c r="L433" t="s">
        <v>1514</v>
      </c>
      <c r="M433" t="s">
        <v>87</v>
      </c>
      <c r="N433">
        <v>28052</v>
      </c>
      <c r="O433" t="s">
        <v>29</v>
      </c>
      <c r="P433" t="s">
        <v>731</v>
      </c>
      <c r="Q433" t="s">
        <v>70</v>
      </c>
      <c r="R433" t="s">
        <v>160</v>
      </c>
      <c r="S433" t="s">
        <v>732</v>
      </c>
      <c r="T433">
        <v>291.95999999999998</v>
      </c>
      <c r="U433">
        <v>5</v>
      </c>
      <c r="V433">
        <v>0.2</v>
      </c>
      <c r="W433">
        <v>54.7425</v>
      </c>
    </row>
    <row r="434" spans="1:23" x14ac:dyDescent="0.35">
      <c r="A434" s="1">
        <v>433</v>
      </c>
      <c r="B434" t="s">
        <v>1511</v>
      </c>
      <c r="C434" s="2">
        <v>42475</v>
      </c>
      <c r="D434" s="2">
        <v>42481</v>
      </c>
      <c r="E434" s="2" t="str">
        <f t="shared" si="6"/>
        <v>Apr</v>
      </c>
      <c r="F434" s="5">
        <f>YEAR(Table1[[#This Row],[Order Date]])</f>
        <v>2016</v>
      </c>
      <c r="G434" t="s">
        <v>49</v>
      </c>
      <c r="H434" t="s">
        <v>1512</v>
      </c>
      <c r="I434" t="s">
        <v>1513</v>
      </c>
      <c r="J434" t="s">
        <v>101</v>
      </c>
      <c r="K434" t="s">
        <v>26</v>
      </c>
      <c r="L434" t="s">
        <v>1514</v>
      </c>
      <c r="M434" t="s">
        <v>87</v>
      </c>
      <c r="N434">
        <v>28052</v>
      </c>
      <c r="O434" t="s">
        <v>29</v>
      </c>
      <c r="P434" t="s">
        <v>1517</v>
      </c>
      <c r="Q434" t="s">
        <v>45</v>
      </c>
      <c r="R434" t="s">
        <v>58</v>
      </c>
      <c r="S434" t="s">
        <v>1518</v>
      </c>
      <c r="T434">
        <v>4.7679999999999998</v>
      </c>
      <c r="U434">
        <v>2</v>
      </c>
      <c r="V434">
        <v>0.2</v>
      </c>
      <c r="W434">
        <v>-0.77480000000000004</v>
      </c>
    </row>
    <row r="435" spans="1:23" x14ac:dyDescent="0.35">
      <c r="A435" s="1">
        <v>434</v>
      </c>
      <c r="B435" t="s">
        <v>1519</v>
      </c>
      <c r="C435" s="2">
        <v>42527</v>
      </c>
      <c r="D435" s="2">
        <v>42528</v>
      </c>
      <c r="E435" s="2" t="str">
        <f t="shared" si="6"/>
        <v>Jun</v>
      </c>
      <c r="F435" s="5">
        <f>YEAR(Table1[[#This Row],[Order Date]])</f>
        <v>2016</v>
      </c>
      <c r="G435" t="s">
        <v>187</v>
      </c>
      <c r="H435" t="s">
        <v>643</v>
      </c>
      <c r="I435" t="s">
        <v>644</v>
      </c>
      <c r="J435" t="s">
        <v>25</v>
      </c>
      <c r="K435" t="s">
        <v>26</v>
      </c>
      <c r="L435" t="s">
        <v>1246</v>
      </c>
      <c r="M435" t="s">
        <v>1247</v>
      </c>
      <c r="N435">
        <v>1852</v>
      </c>
      <c r="O435" t="s">
        <v>147</v>
      </c>
      <c r="P435" t="s">
        <v>1520</v>
      </c>
      <c r="Q435" t="s">
        <v>45</v>
      </c>
      <c r="R435" t="s">
        <v>58</v>
      </c>
      <c r="S435" t="s">
        <v>1521</v>
      </c>
      <c r="T435">
        <v>714.3</v>
      </c>
      <c r="U435">
        <v>5</v>
      </c>
      <c r="V435">
        <v>0</v>
      </c>
      <c r="W435">
        <v>207.14699999999999</v>
      </c>
    </row>
    <row r="436" spans="1:23" x14ac:dyDescent="0.35">
      <c r="A436" s="1">
        <v>435</v>
      </c>
      <c r="B436" t="s">
        <v>1522</v>
      </c>
      <c r="C436" s="2">
        <v>41992</v>
      </c>
      <c r="D436" s="2">
        <v>41998</v>
      </c>
      <c r="E436" s="2" t="str">
        <f t="shared" si="6"/>
        <v>Dec</v>
      </c>
      <c r="F436" s="5">
        <f>YEAR(Table1[[#This Row],[Order Date]])</f>
        <v>2014</v>
      </c>
      <c r="G436" t="s">
        <v>49</v>
      </c>
      <c r="H436" t="s">
        <v>1523</v>
      </c>
      <c r="I436" t="s">
        <v>1524</v>
      </c>
      <c r="J436" t="s">
        <v>25</v>
      </c>
      <c r="K436" t="s">
        <v>26</v>
      </c>
      <c r="L436" t="s">
        <v>1525</v>
      </c>
      <c r="M436" t="s">
        <v>53</v>
      </c>
      <c r="N436">
        <v>32216</v>
      </c>
      <c r="O436" t="s">
        <v>29</v>
      </c>
      <c r="P436" t="s">
        <v>1526</v>
      </c>
      <c r="Q436" t="s">
        <v>45</v>
      </c>
      <c r="R436" t="s">
        <v>74</v>
      </c>
      <c r="S436" t="s">
        <v>1527</v>
      </c>
      <c r="T436">
        <v>4.8120000000000003</v>
      </c>
      <c r="U436">
        <v>2</v>
      </c>
      <c r="V436">
        <v>0.7</v>
      </c>
      <c r="W436">
        <v>-3.6892</v>
      </c>
    </row>
    <row r="437" spans="1:23" x14ac:dyDescent="0.35">
      <c r="A437" s="1">
        <v>436</v>
      </c>
      <c r="B437" t="s">
        <v>1522</v>
      </c>
      <c r="C437" s="2">
        <v>41992</v>
      </c>
      <c r="D437" s="2">
        <v>41998</v>
      </c>
      <c r="E437" s="2" t="str">
        <f t="shared" si="6"/>
        <v>Dec</v>
      </c>
      <c r="F437" s="5">
        <f>YEAR(Table1[[#This Row],[Order Date]])</f>
        <v>2014</v>
      </c>
      <c r="G437" t="s">
        <v>49</v>
      </c>
      <c r="H437" t="s">
        <v>1523</v>
      </c>
      <c r="I437" t="s">
        <v>1524</v>
      </c>
      <c r="J437" t="s">
        <v>25</v>
      </c>
      <c r="K437" t="s">
        <v>26</v>
      </c>
      <c r="L437" t="s">
        <v>1525</v>
      </c>
      <c r="M437" t="s">
        <v>53</v>
      </c>
      <c r="N437">
        <v>32216</v>
      </c>
      <c r="O437" t="s">
        <v>29</v>
      </c>
      <c r="P437" t="s">
        <v>1528</v>
      </c>
      <c r="Q437" t="s">
        <v>70</v>
      </c>
      <c r="R437" t="s">
        <v>160</v>
      </c>
      <c r="S437" t="s">
        <v>1529</v>
      </c>
      <c r="T437">
        <v>247.8</v>
      </c>
      <c r="U437">
        <v>5</v>
      </c>
      <c r="V437">
        <v>0.2</v>
      </c>
      <c r="W437">
        <v>-18.585000000000001</v>
      </c>
    </row>
    <row r="438" spans="1:23" x14ac:dyDescent="0.35">
      <c r="A438" s="1">
        <v>437</v>
      </c>
      <c r="B438" t="s">
        <v>1530</v>
      </c>
      <c r="C438" s="2">
        <v>42533</v>
      </c>
      <c r="D438" s="2">
        <v>42535</v>
      </c>
      <c r="E438" s="2" t="str">
        <f t="shared" si="6"/>
        <v>Jun</v>
      </c>
      <c r="F438" s="5">
        <f>YEAR(Table1[[#This Row],[Order Date]])</f>
        <v>2016</v>
      </c>
      <c r="G438" t="s">
        <v>22</v>
      </c>
      <c r="H438" t="s">
        <v>1531</v>
      </c>
      <c r="I438" t="s">
        <v>1532</v>
      </c>
      <c r="J438" t="s">
        <v>101</v>
      </c>
      <c r="K438" t="s">
        <v>26</v>
      </c>
      <c r="L438" t="s">
        <v>302</v>
      </c>
      <c r="M438" t="s">
        <v>210</v>
      </c>
      <c r="N438">
        <v>60623</v>
      </c>
      <c r="O438" t="s">
        <v>104</v>
      </c>
      <c r="P438" t="s">
        <v>1533</v>
      </c>
      <c r="Q438" t="s">
        <v>70</v>
      </c>
      <c r="R438" t="s">
        <v>683</v>
      </c>
      <c r="S438" t="s">
        <v>1534</v>
      </c>
      <c r="T438">
        <v>1007.979</v>
      </c>
      <c r="U438">
        <v>3</v>
      </c>
      <c r="V438">
        <v>0.3</v>
      </c>
      <c r="W438">
        <v>43.199100000000001</v>
      </c>
    </row>
    <row r="439" spans="1:23" x14ac:dyDescent="0.35">
      <c r="A439" s="1">
        <v>438</v>
      </c>
      <c r="B439" t="s">
        <v>1530</v>
      </c>
      <c r="C439" s="2">
        <v>42533</v>
      </c>
      <c r="D439" s="2">
        <v>42535</v>
      </c>
      <c r="E439" s="2" t="str">
        <f t="shared" si="6"/>
        <v>Jun</v>
      </c>
      <c r="F439" s="5">
        <f>YEAR(Table1[[#This Row],[Order Date]])</f>
        <v>2016</v>
      </c>
      <c r="G439" t="s">
        <v>22</v>
      </c>
      <c r="H439" t="s">
        <v>1531</v>
      </c>
      <c r="I439" t="s">
        <v>1532</v>
      </c>
      <c r="J439" t="s">
        <v>101</v>
      </c>
      <c r="K439" t="s">
        <v>26</v>
      </c>
      <c r="L439" t="s">
        <v>302</v>
      </c>
      <c r="M439" t="s">
        <v>210</v>
      </c>
      <c r="N439">
        <v>60623</v>
      </c>
      <c r="O439" t="s">
        <v>104</v>
      </c>
      <c r="P439" t="s">
        <v>1253</v>
      </c>
      <c r="Q439" t="s">
        <v>45</v>
      </c>
      <c r="R439" t="s">
        <v>89</v>
      </c>
      <c r="S439" t="s">
        <v>1446</v>
      </c>
      <c r="T439">
        <v>313.488</v>
      </c>
      <c r="U439">
        <v>7</v>
      </c>
      <c r="V439">
        <v>0.2</v>
      </c>
      <c r="W439">
        <v>113.63939999999999</v>
      </c>
    </row>
    <row r="440" spans="1:23" x14ac:dyDescent="0.35">
      <c r="A440" s="1">
        <v>439</v>
      </c>
      <c r="B440" t="s">
        <v>1535</v>
      </c>
      <c r="C440" s="2">
        <v>42993</v>
      </c>
      <c r="D440" s="2">
        <v>42997</v>
      </c>
      <c r="E440" s="2" t="str">
        <f t="shared" si="6"/>
        <v>Sep</v>
      </c>
      <c r="F440" s="5">
        <f>YEAR(Table1[[#This Row],[Order Date]])</f>
        <v>2017</v>
      </c>
      <c r="G440" t="s">
        <v>49</v>
      </c>
      <c r="H440" t="s">
        <v>1536</v>
      </c>
      <c r="I440" t="s">
        <v>1537</v>
      </c>
      <c r="J440" t="s">
        <v>40</v>
      </c>
      <c r="K440" t="s">
        <v>26</v>
      </c>
      <c r="L440" t="s">
        <v>183</v>
      </c>
      <c r="M440" t="s">
        <v>103</v>
      </c>
      <c r="N440">
        <v>77070</v>
      </c>
      <c r="O440" t="s">
        <v>104</v>
      </c>
      <c r="P440" t="s">
        <v>1538</v>
      </c>
      <c r="Q440" t="s">
        <v>45</v>
      </c>
      <c r="R440" t="s">
        <v>89</v>
      </c>
      <c r="S440" t="s">
        <v>1539</v>
      </c>
      <c r="T440">
        <v>31.872</v>
      </c>
      <c r="U440">
        <v>8</v>
      </c>
      <c r="V440">
        <v>0.2</v>
      </c>
      <c r="W440">
        <v>11.553599999999999</v>
      </c>
    </row>
    <row r="441" spans="1:23" x14ac:dyDescent="0.35">
      <c r="A441" s="1">
        <v>440</v>
      </c>
      <c r="B441" t="s">
        <v>1540</v>
      </c>
      <c r="C441" s="2">
        <v>42755</v>
      </c>
      <c r="D441" s="2">
        <v>42758</v>
      </c>
      <c r="E441" s="2" t="str">
        <f t="shared" si="6"/>
        <v>Jan</v>
      </c>
      <c r="F441" s="5">
        <f>YEAR(Table1[[#This Row],[Order Date]])</f>
        <v>2017</v>
      </c>
      <c r="G441" t="s">
        <v>22</v>
      </c>
      <c r="H441" t="s">
        <v>480</v>
      </c>
      <c r="I441" t="s">
        <v>481</v>
      </c>
      <c r="J441" t="s">
        <v>40</v>
      </c>
      <c r="K441" t="s">
        <v>26</v>
      </c>
      <c r="L441" t="s">
        <v>265</v>
      </c>
      <c r="M441" t="s">
        <v>266</v>
      </c>
      <c r="N441">
        <v>10024</v>
      </c>
      <c r="O441" t="s">
        <v>147</v>
      </c>
      <c r="P441" t="s">
        <v>1541</v>
      </c>
      <c r="Q441" t="s">
        <v>31</v>
      </c>
      <c r="R441" t="s">
        <v>35</v>
      </c>
      <c r="S441" t="s">
        <v>1542</v>
      </c>
      <c r="T441">
        <v>207.846</v>
      </c>
      <c r="U441">
        <v>3</v>
      </c>
      <c r="V441">
        <v>0.1</v>
      </c>
      <c r="W441">
        <v>2.3094000000000001</v>
      </c>
    </row>
    <row r="442" spans="1:23" x14ac:dyDescent="0.35">
      <c r="A442" s="1">
        <v>441</v>
      </c>
      <c r="B442" t="s">
        <v>1543</v>
      </c>
      <c r="C442" s="2">
        <v>42618</v>
      </c>
      <c r="D442" s="2">
        <v>42620</v>
      </c>
      <c r="E442" s="2" t="str">
        <f t="shared" si="6"/>
        <v>Sep</v>
      </c>
      <c r="F442" s="5">
        <f>YEAR(Table1[[#This Row],[Order Date]])</f>
        <v>2016</v>
      </c>
      <c r="G442" t="s">
        <v>22</v>
      </c>
      <c r="H442" t="s">
        <v>110</v>
      </c>
      <c r="I442" t="s">
        <v>111</v>
      </c>
      <c r="J442" t="s">
        <v>25</v>
      </c>
      <c r="K442" t="s">
        <v>26</v>
      </c>
      <c r="L442" t="s">
        <v>881</v>
      </c>
      <c r="M442" t="s">
        <v>237</v>
      </c>
      <c r="N442">
        <v>48227</v>
      </c>
      <c r="O442" t="s">
        <v>104</v>
      </c>
      <c r="P442" t="s">
        <v>1544</v>
      </c>
      <c r="Q442" t="s">
        <v>31</v>
      </c>
      <c r="R442" t="s">
        <v>64</v>
      </c>
      <c r="S442" t="s">
        <v>1545</v>
      </c>
      <c r="T442">
        <v>12.22</v>
      </c>
      <c r="U442">
        <v>1</v>
      </c>
      <c r="V442">
        <v>0</v>
      </c>
      <c r="W442">
        <v>3.6659999999999999</v>
      </c>
    </row>
    <row r="443" spans="1:23" x14ac:dyDescent="0.35">
      <c r="A443" s="1">
        <v>442</v>
      </c>
      <c r="B443" t="s">
        <v>1543</v>
      </c>
      <c r="C443" s="2">
        <v>42618</v>
      </c>
      <c r="D443" s="2">
        <v>42620</v>
      </c>
      <c r="E443" s="2" t="str">
        <f t="shared" si="6"/>
        <v>Sep</v>
      </c>
      <c r="F443" s="5">
        <f>YEAR(Table1[[#This Row],[Order Date]])</f>
        <v>2016</v>
      </c>
      <c r="G443" t="s">
        <v>22</v>
      </c>
      <c r="H443" t="s">
        <v>110</v>
      </c>
      <c r="I443" t="s">
        <v>111</v>
      </c>
      <c r="J443" t="s">
        <v>25</v>
      </c>
      <c r="K443" t="s">
        <v>26</v>
      </c>
      <c r="L443" t="s">
        <v>881</v>
      </c>
      <c r="M443" t="s">
        <v>237</v>
      </c>
      <c r="N443">
        <v>48227</v>
      </c>
      <c r="O443" t="s">
        <v>104</v>
      </c>
      <c r="P443" t="s">
        <v>1546</v>
      </c>
      <c r="Q443" t="s">
        <v>45</v>
      </c>
      <c r="R443" t="s">
        <v>58</v>
      </c>
      <c r="S443" t="s">
        <v>1547</v>
      </c>
      <c r="T443">
        <v>194.94</v>
      </c>
      <c r="U443">
        <v>3</v>
      </c>
      <c r="V443">
        <v>0</v>
      </c>
      <c r="W443">
        <v>23.392800000000001</v>
      </c>
    </row>
    <row r="444" spans="1:23" x14ac:dyDescent="0.35">
      <c r="A444" s="1">
        <v>443</v>
      </c>
      <c r="B444" t="s">
        <v>1543</v>
      </c>
      <c r="C444" s="2">
        <v>42618</v>
      </c>
      <c r="D444" s="2">
        <v>42620</v>
      </c>
      <c r="E444" s="2" t="str">
        <f t="shared" si="6"/>
        <v>Sep</v>
      </c>
      <c r="F444" s="5">
        <f>YEAR(Table1[[#This Row],[Order Date]])</f>
        <v>2016</v>
      </c>
      <c r="G444" t="s">
        <v>22</v>
      </c>
      <c r="H444" t="s">
        <v>110</v>
      </c>
      <c r="I444" t="s">
        <v>111</v>
      </c>
      <c r="J444" t="s">
        <v>25</v>
      </c>
      <c r="K444" t="s">
        <v>26</v>
      </c>
      <c r="L444" t="s">
        <v>881</v>
      </c>
      <c r="M444" t="s">
        <v>237</v>
      </c>
      <c r="N444">
        <v>48227</v>
      </c>
      <c r="O444" t="s">
        <v>104</v>
      </c>
      <c r="P444" t="s">
        <v>1548</v>
      </c>
      <c r="Q444" t="s">
        <v>45</v>
      </c>
      <c r="R444" t="s">
        <v>58</v>
      </c>
      <c r="S444" t="s">
        <v>1549</v>
      </c>
      <c r="T444">
        <v>70.95</v>
      </c>
      <c r="U444">
        <v>3</v>
      </c>
      <c r="V444">
        <v>0</v>
      </c>
      <c r="W444">
        <v>20.575500000000002</v>
      </c>
    </row>
    <row r="445" spans="1:23" x14ac:dyDescent="0.35">
      <c r="A445" s="1">
        <v>444</v>
      </c>
      <c r="B445" t="s">
        <v>1543</v>
      </c>
      <c r="C445" s="2">
        <v>42618</v>
      </c>
      <c r="D445" s="2">
        <v>42620</v>
      </c>
      <c r="E445" s="2" t="str">
        <f t="shared" si="6"/>
        <v>Sep</v>
      </c>
      <c r="F445" s="5">
        <f>YEAR(Table1[[#This Row],[Order Date]])</f>
        <v>2016</v>
      </c>
      <c r="G445" t="s">
        <v>22</v>
      </c>
      <c r="H445" t="s">
        <v>110</v>
      </c>
      <c r="I445" t="s">
        <v>111</v>
      </c>
      <c r="J445" t="s">
        <v>25</v>
      </c>
      <c r="K445" t="s">
        <v>26</v>
      </c>
      <c r="L445" t="s">
        <v>881</v>
      </c>
      <c r="M445" t="s">
        <v>237</v>
      </c>
      <c r="N445">
        <v>48227</v>
      </c>
      <c r="O445" t="s">
        <v>104</v>
      </c>
      <c r="P445" t="s">
        <v>1550</v>
      </c>
      <c r="Q445" t="s">
        <v>45</v>
      </c>
      <c r="R445" t="s">
        <v>89</v>
      </c>
      <c r="S445" t="s">
        <v>1551</v>
      </c>
      <c r="T445">
        <v>91.36</v>
      </c>
      <c r="U445">
        <v>4</v>
      </c>
      <c r="V445">
        <v>0</v>
      </c>
      <c r="W445">
        <v>42.025599999999997</v>
      </c>
    </row>
    <row r="446" spans="1:23" x14ac:dyDescent="0.35">
      <c r="A446" s="1">
        <v>445</v>
      </c>
      <c r="B446" t="s">
        <v>1543</v>
      </c>
      <c r="C446" s="2">
        <v>42618</v>
      </c>
      <c r="D446" s="2">
        <v>42620</v>
      </c>
      <c r="E446" s="2" t="str">
        <f t="shared" si="6"/>
        <v>Sep</v>
      </c>
      <c r="F446" s="5">
        <f>YEAR(Table1[[#This Row],[Order Date]])</f>
        <v>2016</v>
      </c>
      <c r="G446" t="s">
        <v>22</v>
      </c>
      <c r="H446" t="s">
        <v>110</v>
      </c>
      <c r="I446" t="s">
        <v>111</v>
      </c>
      <c r="J446" t="s">
        <v>25</v>
      </c>
      <c r="K446" t="s">
        <v>26</v>
      </c>
      <c r="L446" t="s">
        <v>881</v>
      </c>
      <c r="M446" t="s">
        <v>237</v>
      </c>
      <c r="N446">
        <v>48227</v>
      </c>
      <c r="O446" t="s">
        <v>104</v>
      </c>
      <c r="P446" t="s">
        <v>1552</v>
      </c>
      <c r="Q446" t="s">
        <v>31</v>
      </c>
      <c r="R446" t="s">
        <v>35</v>
      </c>
      <c r="S446" t="s">
        <v>1553</v>
      </c>
      <c r="T446">
        <v>242.94</v>
      </c>
      <c r="U446">
        <v>3</v>
      </c>
      <c r="V446">
        <v>0</v>
      </c>
      <c r="W446">
        <v>29.152799999999999</v>
      </c>
    </row>
    <row r="447" spans="1:23" x14ac:dyDescent="0.35">
      <c r="A447" s="1">
        <v>446</v>
      </c>
      <c r="B447" t="s">
        <v>1543</v>
      </c>
      <c r="C447" s="2">
        <v>42618</v>
      </c>
      <c r="D447" s="2">
        <v>42620</v>
      </c>
      <c r="E447" s="2" t="str">
        <f t="shared" si="6"/>
        <v>Sep</v>
      </c>
      <c r="F447" s="5">
        <f>YEAR(Table1[[#This Row],[Order Date]])</f>
        <v>2016</v>
      </c>
      <c r="G447" t="s">
        <v>22</v>
      </c>
      <c r="H447" t="s">
        <v>110</v>
      </c>
      <c r="I447" t="s">
        <v>111</v>
      </c>
      <c r="J447" t="s">
        <v>25</v>
      </c>
      <c r="K447" t="s">
        <v>26</v>
      </c>
      <c r="L447" t="s">
        <v>881</v>
      </c>
      <c r="M447" t="s">
        <v>237</v>
      </c>
      <c r="N447">
        <v>48227</v>
      </c>
      <c r="O447" t="s">
        <v>104</v>
      </c>
      <c r="P447" t="s">
        <v>1554</v>
      </c>
      <c r="Q447" t="s">
        <v>45</v>
      </c>
      <c r="R447" t="s">
        <v>46</v>
      </c>
      <c r="S447" t="s">
        <v>1555</v>
      </c>
      <c r="T447">
        <v>22.05</v>
      </c>
      <c r="U447">
        <v>7</v>
      </c>
      <c r="V447">
        <v>0</v>
      </c>
      <c r="W447">
        <v>10.584</v>
      </c>
    </row>
    <row r="448" spans="1:23" x14ac:dyDescent="0.35">
      <c r="A448" s="1">
        <v>447</v>
      </c>
      <c r="B448" t="s">
        <v>1556</v>
      </c>
      <c r="C448" s="2">
        <v>42814</v>
      </c>
      <c r="D448" s="2">
        <v>42819</v>
      </c>
      <c r="E448" s="2" t="str">
        <f t="shared" si="6"/>
        <v>Mar</v>
      </c>
      <c r="F448" s="5">
        <f>YEAR(Table1[[#This Row],[Order Date]])</f>
        <v>2017</v>
      </c>
      <c r="G448" t="s">
        <v>22</v>
      </c>
      <c r="H448" t="s">
        <v>1557</v>
      </c>
      <c r="I448" t="s">
        <v>1558</v>
      </c>
      <c r="J448" t="s">
        <v>25</v>
      </c>
      <c r="K448" t="s">
        <v>26</v>
      </c>
      <c r="L448" t="s">
        <v>496</v>
      </c>
      <c r="M448" t="s">
        <v>253</v>
      </c>
      <c r="N448">
        <v>47201</v>
      </c>
      <c r="O448" t="s">
        <v>104</v>
      </c>
      <c r="P448" t="s">
        <v>1559</v>
      </c>
      <c r="Q448" t="s">
        <v>31</v>
      </c>
      <c r="R448" t="s">
        <v>64</v>
      </c>
      <c r="S448" t="s">
        <v>1560</v>
      </c>
      <c r="T448">
        <v>2.91</v>
      </c>
      <c r="U448">
        <v>1</v>
      </c>
      <c r="V448">
        <v>0</v>
      </c>
      <c r="W448">
        <v>1.3676999999999999</v>
      </c>
    </row>
    <row r="449" spans="1:23" x14ac:dyDescent="0.35">
      <c r="A449" s="1">
        <v>448</v>
      </c>
      <c r="B449" t="s">
        <v>1561</v>
      </c>
      <c r="C449" s="2">
        <v>42461</v>
      </c>
      <c r="D449" s="2">
        <v>42463</v>
      </c>
      <c r="E449" s="2" t="str">
        <f t="shared" si="6"/>
        <v>Apr</v>
      </c>
      <c r="F449" s="5">
        <f>YEAR(Table1[[#This Row],[Order Date]])</f>
        <v>2016</v>
      </c>
      <c r="G449" t="s">
        <v>22</v>
      </c>
      <c r="H449" t="s">
        <v>1562</v>
      </c>
      <c r="I449" t="s">
        <v>1563</v>
      </c>
      <c r="J449" t="s">
        <v>25</v>
      </c>
      <c r="K449" t="s">
        <v>26</v>
      </c>
      <c r="L449" t="s">
        <v>1564</v>
      </c>
      <c r="M449" t="s">
        <v>266</v>
      </c>
      <c r="N449">
        <v>13021</v>
      </c>
      <c r="O449" t="s">
        <v>147</v>
      </c>
      <c r="P449" t="s">
        <v>1565</v>
      </c>
      <c r="Q449" t="s">
        <v>45</v>
      </c>
      <c r="R449" t="s">
        <v>67</v>
      </c>
      <c r="S449" t="s">
        <v>1566</v>
      </c>
      <c r="T449">
        <v>59.52</v>
      </c>
      <c r="U449">
        <v>3</v>
      </c>
      <c r="V449">
        <v>0</v>
      </c>
      <c r="W449">
        <v>15.475199999999999</v>
      </c>
    </row>
    <row r="450" spans="1:23" x14ac:dyDescent="0.35">
      <c r="A450" s="1">
        <v>449</v>
      </c>
      <c r="B450" t="s">
        <v>1561</v>
      </c>
      <c r="C450" s="2">
        <v>42461</v>
      </c>
      <c r="D450" s="2">
        <v>42463</v>
      </c>
      <c r="E450" s="2" t="str">
        <f t="shared" ref="E450:E501" si="7">TEXT(C450,"mmm")</f>
        <v>Apr</v>
      </c>
      <c r="F450" s="5">
        <f>YEAR(Table1[[#This Row],[Order Date]])</f>
        <v>2016</v>
      </c>
      <c r="G450" t="s">
        <v>22</v>
      </c>
      <c r="H450" t="s">
        <v>1562</v>
      </c>
      <c r="I450" t="s">
        <v>1563</v>
      </c>
      <c r="J450" t="s">
        <v>25</v>
      </c>
      <c r="K450" t="s">
        <v>26</v>
      </c>
      <c r="L450" t="s">
        <v>1564</v>
      </c>
      <c r="M450" t="s">
        <v>266</v>
      </c>
      <c r="N450">
        <v>13021</v>
      </c>
      <c r="O450" t="s">
        <v>147</v>
      </c>
      <c r="P450" t="s">
        <v>1567</v>
      </c>
      <c r="Q450" t="s">
        <v>45</v>
      </c>
      <c r="R450" t="s">
        <v>58</v>
      </c>
      <c r="S450" t="s">
        <v>1568</v>
      </c>
      <c r="T450">
        <v>161.94</v>
      </c>
      <c r="U450">
        <v>3</v>
      </c>
      <c r="V450">
        <v>0</v>
      </c>
      <c r="W450">
        <v>9.7164000000000001</v>
      </c>
    </row>
    <row r="451" spans="1:23" x14ac:dyDescent="0.35">
      <c r="A451" s="1">
        <v>450</v>
      </c>
      <c r="B451" t="s">
        <v>1561</v>
      </c>
      <c r="C451" s="2">
        <v>42461</v>
      </c>
      <c r="D451" s="2">
        <v>42463</v>
      </c>
      <c r="E451" s="2" t="str">
        <f t="shared" si="7"/>
        <v>Apr</v>
      </c>
      <c r="F451" s="5">
        <f>YEAR(Table1[[#This Row],[Order Date]])</f>
        <v>2016</v>
      </c>
      <c r="G451" t="s">
        <v>22</v>
      </c>
      <c r="H451" t="s">
        <v>1562</v>
      </c>
      <c r="I451" t="s">
        <v>1563</v>
      </c>
      <c r="J451" t="s">
        <v>25</v>
      </c>
      <c r="K451" t="s">
        <v>26</v>
      </c>
      <c r="L451" t="s">
        <v>1564</v>
      </c>
      <c r="M451" t="s">
        <v>266</v>
      </c>
      <c r="N451">
        <v>13021</v>
      </c>
      <c r="O451" t="s">
        <v>147</v>
      </c>
      <c r="P451" t="s">
        <v>1569</v>
      </c>
      <c r="Q451" t="s">
        <v>45</v>
      </c>
      <c r="R451" t="s">
        <v>67</v>
      </c>
      <c r="S451" t="s">
        <v>1570</v>
      </c>
      <c r="T451">
        <v>263.88</v>
      </c>
      <c r="U451">
        <v>6</v>
      </c>
      <c r="V451">
        <v>0</v>
      </c>
      <c r="W451">
        <v>71.247600000000006</v>
      </c>
    </row>
    <row r="452" spans="1:23" x14ac:dyDescent="0.35">
      <c r="A452" s="1">
        <v>451</v>
      </c>
      <c r="B452" t="s">
        <v>1561</v>
      </c>
      <c r="C452" s="2">
        <v>42461</v>
      </c>
      <c r="D452" s="2">
        <v>42463</v>
      </c>
      <c r="E452" s="2" t="str">
        <f t="shared" si="7"/>
        <v>Apr</v>
      </c>
      <c r="F452" s="5">
        <f>YEAR(Table1[[#This Row],[Order Date]])</f>
        <v>2016</v>
      </c>
      <c r="G452" t="s">
        <v>22</v>
      </c>
      <c r="H452" t="s">
        <v>1562</v>
      </c>
      <c r="I452" t="s">
        <v>1563</v>
      </c>
      <c r="J452" t="s">
        <v>25</v>
      </c>
      <c r="K452" t="s">
        <v>26</v>
      </c>
      <c r="L452" t="s">
        <v>1564</v>
      </c>
      <c r="M452" t="s">
        <v>266</v>
      </c>
      <c r="N452">
        <v>13021</v>
      </c>
      <c r="O452" t="s">
        <v>147</v>
      </c>
      <c r="P452" t="s">
        <v>1571</v>
      </c>
      <c r="Q452" t="s">
        <v>45</v>
      </c>
      <c r="R452" t="s">
        <v>67</v>
      </c>
      <c r="S452" t="s">
        <v>1572</v>
      </c>
      <c r="T452">
        <v>30.48</v>
      </c>
      <c r="U452">
        <v>3</v>
      </c>
      <c r="V452">
        <v>0</v>
      </c>
      <c r="W452">
        <v>7.9248000000000003</v>
      </c>
    </row>
    <row r="453" spans="1:23" x14ac:dyDescent="0.35">
      <c r="A453" s="1">
        <v>452</v>
      </c>
      <c r="B453" t="s">
        <v>1561</v>
      </c>
      <c r="C453" s="2">
        <v>42461</v>
      </c>
      <c r="D453" s="2">
        <v>42463</v>
      </c>
      <c r="E453" s="2" t="str">
        <f t="shared" si="7"/>
        <v>Apr</v>
      </c>
      <c r="F453" s="5">
        <f>YEAR(Table1[[#This Row],[Order Date]])</f>
        <v>2016</v>
      </c>
      <c r="G453" t="s">
        <v>22</v>
      </c>
      <c r="H453" t="s">
        <v>1562</v>
      </c>
      <c r="I453" t="s">
        <v>1563</v>
      </c>
      <c r="J453" t="s">
        <v>25</v>
      </c>
      <c r="K453" t="s">
        <v>26</v>
      </c>
      <c r="L453" t="s">
        <v>1564</v>
      </c>
      <c r="M453" t="s">
        <v>266</v>
      </c>
      <c r="N453">
        <v>13021</v>
      </c>
      <c r="O453" t="s">
        <v>147</v>
      </c>
      <c r="P453" t="s">
        <v>1573</v>
      </c>
      <c r="Q453" t="s">
        <v>45</v>
      </c>
      <c r="R453" t="s">
        <v>67</v>
      </c>
      <c r="S453" t="s">
        <v>1574</v>
      </c>
      <c r="T453">
        <v>9.84</v>
      </c>
      <c r="U453">
        <v>3</v>
      </c>
      <c r="V453">
        <v>0</v>
      </c>
      <c r="W453">
        <v>2.8536000000000001</v>
      </c>
    </row>
    <row r="454" spans="1:23" x14ac:dyDescent="0.35">
      <c r="A454" s="1">
        <v>453</v>
      </c>
      <c r="B454" t="s">
        <v>1561</v>
      </c>
      <c r="C454" s="2">
        <v>42461</v>
      </c>
      <c r="D454" s="2">
        <v>42463</v>
      </c>
      <c r="E454" s="2" t="str">
        <f t="shared" si="7"/>
        <v>Apr</v>
      </c>
      <c r="F454" s="5">
        <f>YEAR(Table1[[#This Row],[Order Date]])</f>
        <v>2016</v>
      </c>
      <c r="G454" t="s">
        <v>22</v>
      </c>
      <c r="H454" t="s">
        <v>1562</v>
      </c>
      <c r="I454" t="s">
        <v>1563</v>
      </c>
      <c r="J454" t="s">
        <v>25</v>
      </c>
      <c r="K454" t="s">
        <v>26</v>
      </c>
      <c r="L454" t="s">
        <v>1564</v>
      </c>
      <c r="M454" t="s">
        <v>266</v>
      </c>
      <c r="N454">
        <v>13021</v>
      </c>
      <c r="O454" t="s">
        <v>147</v>
      </c>
      <c r="P454" t="s">
        <v>1575</v>
      </c>
      <c r="Q454" t="s">
        <v>70</v>
      </c>
      <c r="R454" t="s">
        <v>71</v>
      </c>
      <c r="S454" t="s">
        <v>1576</v>
      </c>
      <c r="T454">
        <v>35.119999999999997</v>
      </c>
      <c r="U454">
        <v>4</v>
      </c>
      <c r="V454">
        <v>0</v>
      </c>
      <c r="W454">
        <v>9.1311999999999998</v>
      </c>
    </row>
    <row r="455" spans="1:23" x14ac:dyDescent="0.35">
      <c r="A455" s="1">
        <v>454</v>
      </c>
      <c r="B455" t="s">
        <v>1577</v>
      </c>
      <c r="C455" s="2">
        <v>43028</v>
      </c>
      <c r="D455" s="2">
        <v>43032</v>
      </c>
      <c r="E455" s="2" t="str">
        <f t="shared" si="7"/>
        <v>Oct</v>
      </c>
      <c r="F455" s="5">
        <f>YEAR(Table1[[#This Row],[Order Date]])</f>
        <v>2017</v>
      </c>
      <c r="G455" t="s">
        <v>49</v>
      </c>
      <c r="H455" t="s">
        <v>1578</v>
      </c>
      <c r="I455" t="s">
        <v>1579</v>
      </c>
      <c r="J455" t="s">
        <v>40</v>
      </c>
      <c r="K455" t="s">
        <v>26</v>
      </c>
      <c r="L455" t="s">
        <v>802</v>
      </c>
      <c r="M455" t="s">
        <v>497</v>
      </c>
      <c r="N455">
        <v>44312</v>
      </c>
      <c r="O455" t="s">
        <v>147</v>
      </c>
      <c r="P455" t="s">
        <v>79</v>
      </c>
      <c r="Q455" t="s">
        <v>31</v>
      </c>
      <c r="R455" t="s">
        <v>55</v>
      </c>
      <c r="S455" t="s">
        <v>80</v>
      </c>
      <c r="T455">
        <v>284.36399999999998</v>
      </c>
      <c r="U455">
        <v>2</v>
      </c>
      <c r="V455">
        <v>0.4</v>
      </c>
      <c r="W455">
        <v>-75.830399999999997</v>
      </c>
    </row>
    <row r="456" spans="1:23" x14ac:dyDescent="0.35">
      <c r="A456" s="1">
        <v>455</v>
      </c>
      <c r="B456" t="s">
        <v>1577</v>
      </c>
      <c r="C456" s="2">
        <v>43028</v>
      </c>
      <c r="D456" s="2">
        <v>43032</v>
      </c>
      <c r="E456" s="2" t="str">
        <f t="shared" si="7"/>
        <v>Oct</v>
      </c>
      <c r="F456" s="5">
        <f>YEAR(Table1[[#This Row],[Order Date]])</f>
        <v>2017</v>
      </c>
      <c r="G456" t="s">
        <v>49</v>
      </c>
      <c r="H456" t="s">
        <v>1578</v>
      </c>
      <c r="I456" t="s">
        <v>1579</v>
      </c>
      <c r="J456" t="s">
        <v>40</v>
      </c>
      <c r="K456" t="s">
        <v>26</v>
      </c>
      <c r="L456" t="s">
        <v>802</v>
      </c>
      <c r="M456" t="s">
        <v>497</v>
      </c>
      <c r="N456">
        <v>44312</v>
      </c>
      <c r="O456" t="s">
        <v>147</v>
      </c>
      <c r="P456" t="s">
        <v>1580</v>
      </c>
      <c r="Q456" t="s">
        <v>45</v>
      </c>
      <c r="R456" t="s">
        <v>58</v>
      </c>
      <c r="S456" t="s">
        <v>1581</v>
      </c>
      <c r="T456">
        <v>665.40800000000002</v>
      </c>
      <c r="U456">
        <v>2</v>
      </c>
      <c r="V456">
        <v>0.2</v>
      </c>
      <c r="W456">
        <v>66.540800000000004</v>
      </c>
    </row>
    <row r="457" spans="1:23" x14ac:dyDescent="0.35">
      <c r="A457" s="1">
        <v>456</v>
      </c>
      <c r="B457" t="s">
        <v>1582</v>
      </c>
      <c r="C457" s="2">
        <v>42717</v>
      </c>
      <c r="D457" s="2">
        <v>42721</v>
      </c>
      <c r="E457" s="2" t="str">
        <f t="shared" si="7"/>
        <v>Dec</v>
      </c>
      <c r="F457" s="5">
        <f>YEAR(Table1[[#This Row],[Order Date]])</f>
        <v>2016</v>
      </c>
      <c r="G457" t="s">
        <v>49</v>
      </c>
      <c r="H457" t="s">
        <v>1507</v>
      </c>
      <c r="I457" t="s">
        <v>1508</v>
      </c>
      <c r="J457" t="s">
        <v>40</v>
      </c>
      <c r="K457" t="s">
        <v>26</v>
      </c>
      <c r="L457" t="s">
        <v>1583</v>
      </c>
      <c r="M457" t="s">
        <v>649</v>
      </c>
      <c r="N457">
        <v>73071</v>
      </c>
      <c r="O457" t="s">
        <v>104</v>
      </c>
      <c r="P457" t="s">
        <v>1584</v>
      </c>
      <c r="Q457" t="s">
        <v>70</v>
      </c>
      <c r="R457" t="s">
        <v>160</v>
      </c>
      <c r="S457" t="s">
        <v>1585</v>
      </c>
      <c r="T457">
        <v>63.88</v>
      </c>
      <c r="U457">
        <v>4</v>
      </c>
      <c r="V457">
        <v>0</v>
      </c>
      <c r="W457">
        <v>24.9132</v>
      </c>
    </row>
    <row r="458" spans="1:23" x14ac:dyDescent="0.35">
      <c r="A458" s="1">
        <v>457</v>
      </c>
      <c r="B458" t="s">
        <v>1586</v>
      </c>
      <c r="C458" s="2">
        <v>41682</v>
      </c>
      <c r="D458" s="2">
        <v>41688</v>
      </c>
      <c r="E458" s="2" t="str">
        <f t="shared" si="7"/>
        <v>Feb</v>
      </c>
      <c r="F458" s="5">
        <f>YEAR(Table1[[#This Row],[Order Date]])</f>
        <v>2014</v>
      </c>
      <c r="G458" t="s">
        <v>49</v>
      </c>
      <c r="H458" t="s">
        <v>1587</v>
      </c>
      <c r="I458" t="s">
        <v>1588</v>
      </c>
      <c r="J458" t="s">
        <v>25</v>
      </c>
      <c r="K458" t="s">
        <v>26</v>
      </c>
      <c r="L458" t="s">
        <v>86</v>
      </c>
      <c r="M458" t="s">
        <v>42</v>
      </c>
      <c r="N458">
        <v>94521</v>
      </c>
      <c r="O458" t="s">
        <v>43</v>
      </c>
      <c r="P458" t="s">
        <v>1589</v>
      </c>
      <c r="Q458" t="s">
        <v>31</v>
      </c>
      <c r="R458" t="s">
        <v>35</v>
      </c>
      <c r="S458" t="s">
        <v>1590</v>
      </c>
      <c r="T458">
        <v>129.56800000000001</v>
      </c>
      <c r="U458">
        <v>2</v>
      </c>
      <c r="V458">
        <v>0.2</v>
      </c>
      <c r="W458">
        <v>-24.294</v>
      </c>
    </row>
    <row r="459" spans="1:23" x14ac:dyDescent="0.35">
      <c r="A459" s="1">
        <v>458</v>
      </c>
      <c r="B459" t="s">
        <v>1591</v>
      </c>
      <c r="C459" s="2">
        <v>42639</v>
      </c>
      <c r="D459" s="2">
        <v>42644</v>
      </c>
      <c r="E459" s="2" t="str">
        <f t="shared" si="7"/>
        <v>Sep</v>
      </c>
      <c r="F459" s="5">
        <f>YEAR(Table1[[#This Row],[Order Date]])</f>
        <v>2016</v>
      </c>
      <c r="G459" t="s">
        <v>49</v>
      </c>
      <c r="H459" t="s">
        <v>1489</v>
      </c>
      <c r="I459" t="s">
        <v>1490</v>
      </c>
      <c r="J459" t="s">
        <v>25</v>
      </c>
      <c r="K459" t="s">
        <v>26</v>
      </c>
      <c r="L459" t="s">
        <v>356</v>
      </c>
      <c r="M459" t="s">
        <v>210</v>
      </c>
      <c r="N459">
        <v>62521</v>
      </c>
      <c r="O459" t="s">
        <v>104</v>
      </c>
      <c r="P459" t="s">
        <v>1592</v>
      </c>
      <c r="Q459" t="s">
        <v>31</v>
      </c>
      <c r="R459" t="s">
        <v>35</v>
      </c>
      <c r="S459" t="s">
        <v>1593</v>
      </c>
      <c r="T459">
        <v>747.55799999999999</v>
      </c>
      <c r="U459">
        <v>3</v>
      </c>
      <c r="V459">
        <v>0.3</v>
      </c>
      <c r="W459">
        <v>-96.114599999999996</v>
      </c>
    </row>
    <row r="460" spans="1:23" x14ac:dyDescent="0.35">
      <c r="A460" s="1">
        <v>459</v>
      </c>
      <c r="B460" t="s">
        <v>1591</v>
      </c>
      <c r="C460" s="2">
        <v>42639</v>
      </c>
      <c r="D460" s="2">
        <v>42644</v>
      </c>
      <c r="E460" s="2" t="str">
        <f t="shared" si="7"/>
        <v>Sep</v>
      </c>
      <c r="F460" s="5">
        <f>YEAR(Table1[[#This Row],[Order Date]])</f>
        <v>2016</v>
      </c>
      <c r="G460" t="s">
        <v>49</v>
      </c>
      <c r="H460" t="s">
        <v>1489</v>
      </c>
      <c r="I460" t="s">
        <v>1490</v>
      </c>
      <c r="J460" t="s">
        <v>25</v>
      </c>
      <c r="K460" t="s">
        <v>26</v>
      </c>
      <c r="L460" t="s">
        <v>356</v>
      </c>
      <c r="M460" t="s">
        <v>210</v>
      </c>
      <c r="N460">
        <v>62521</v>
      </c>
      <c r="O460" t="s">
        <v>104</v>
      </c>
      <c r="P460" t="s">
        <v>1594</v>
      </c>
      <c r="Q460" t="s">
        <v>45</v>
      </c>
      <c r="R460" t="s">
        <v>172</v>
      </c>
      <c r="S460" t="s">
        <v>670</v>
      </c>
      <c r="T460">
        <v>8.9280000000000008</v>
      </c>
      <c r="U460">
        <v>2</v>
      </c>
      <c r="V460">
        <v>0.2</v>
      </c>
      <c r="W460">
        <v>3.3479999999999999</v>
      </c>
    </row>
    <row r="461" spans="1:23" x14ac:dyDescent="0.35">
      <c r="A461" s="1">
        <v>460</v>
      </c>
      <c r="B461" t="s">
        <v>1595</v>
      </c>
      <c r="C461" s="2">
        <v>42353</v>
      </c>
      <c r="D461" s="2">
        <v>42360</v>
      </c>
      <c r="E461" s="2" t="str">
        <f t="shared" si="7"/>
        <v>Dec</v>
      </c>
      <c r="F461" s="5">
        <f>YEAR(Table1[[#This Row],[Order Date]])</f>
        <v>2015</v>
      </c>
      <c r="G461" t="s">
        <v>49</v>
      </c>
      <c r="H461" t="s">
        <v>831</v>
      </c>
      <c r="I461" t="s">
        <v>832</v>
      </c>
      <c r="J461" t="s">
        <v>25</v>
      </c>
      <c r="K461" t="s">
        <v>26</v>
      </c>
      <c r="L461" t="s">
        <v>94</v>
      </c>
      <c r="M461" t="s">
        <v>95</v>
      </c>
      <c r="N461">
        <v>98115</v>
      </c>
      <c r="O461" t="s">
        <v>43</v>
      </c>
      <c r="P461" t="s">
        <v>1596</v>
      </c>
      <c r="Q461" t="s">
        <v>45</v>
      </c>
      <c r="R461" t="s">
        <v>77</v>
      </c>
      <c r="S461" t="s">
        <v>1597</v>
      </c>
      <c r="T461">
        <v>103.92</v>
      </c>
      <c r="U461">
        <v>4</v>
      </c>
      <c r="V461">
        <v>0</v>
      </c>
      <c r="W461">
        <v>36.372</v>
      </c>
    </row>
    <row r="462" spans="1:23" x14ac:dyDescent="0.35">
      <c r="A462" s="1">
        <v>461</v>
      </c>
      <c r="B462" t="s">
        <v>1595</v>
      </c>
      <c r="C462" s="2">
        <v>42353</v>
      </c>
      <c r="D462" s="2">
        <v>42360</v>
      </c>
      <c r="E462" s="2" t="str">
        <f t="shared" si="7"/>
        <v>Dec</v>
      </c>
      <c r="F462" s="5">
        <f>YEAR(Table1[[#This Row],[Order Date]])</f>
        <v>2015</v>
      </c>
      <c r="G462" t="s">
        <v>49</v>
      </c>
      <c r="H462" t="s">
        <v>831</v>
      </c>
      <c r="I462" t="s">
        <v>832</v>
      </c>
      <c r="J462" t="s">
        <v>25</v>
      </c>
      <c r="K462" t="s">
        <v>26</v>
      </c>
      <c r="L462" t="s">
        <v>94</v>
      </c>
      <c r="M462" t="s">
        <v>95</v>
      </c>
      <c r="N462">
        <v>98115</v>
      </c>
      <c r="O462" t="s">
        <v>43</v>
      </c>
      <c r="P462" t="s">
        <v>1598</v>
      </c>
      <c r="Q462" t="s">
        <v>70</v>
      </c>
      <c r="R462" t="s">
        <v>160</v>
      </c>
      <c r="S462" t="s">
        <v>1599</v>
      </c>
      <c r="T462">
        <v>899.91</v>
      </c>
      <c r="U462">
        <v>9</v>
      </c>
      <c r="V462">
        <v>0</v>
      </c>
      <c r="W462">
        <v>377.9622</v>
      </c>
    </row>
    <row r="463" spans="1:23" x14ac:dyDescent="0.35">
      <c r="A463" s="1">
        <v>462</v>
      </c>
      <c r="B463" t="s">
        <v>1595</v>
      </c>
      <c r="C463" s="2">
        <v>42353</v>
      </c>
      <c r="D463" s="2">
        <v>42360</v>
      </c>
      <c r="E463" s="2" t="str">
        <f t="shared" si="7"/>
        <v>Dec</v>
      </c>
      <c r="F463" s="5">
        <f>YEAR(Table1[[#This Row],[Order Date]])</f>
        <v>2015</v>
      </c>
      <c r="G463" t="s">
        <v>49</v>
      </c>
      <c r="H463" t="s">
        <v>831</v>
      </c>
      <c r="I463" t="s">
        <v>832</v>
      </c>
      <c r="J463" t="s">
        <v>25</v>
      </c>
      <c r="K463" t="s">
        <v>26</v>
      </c>
      <c r="L463" t="s">
        <v>94</v>
      </c>
      <c r="M463" t="s">
        <v>95</v>
      </c>
      <c r="N463">
        <v>98115</v>
      </c>
      <c r="O463" t="s">
        <v>43</v>
      </c>
      <c r="P463" t="s">
        <v>1600</v>
      </c>
      <c r="Q463" t="s">
        <v>45</v>
      </c>
      <c r="R463" t="s">
        <v>74</v>
      </c>
      <c r="S463" t="s">
        <v>1601</v>
      </c>
      <c r="T463">
        <v>51.311999999999998</v>
      </c>
      <c r="U463">
        <v>3</v>
      </c>
      <c r="V463">
        <v>0.2</v>
      </c>
      <c r="W463">
        <v>18.6006</v>
      </c>
    </row>
    <row r="464" spans="1:23" x14ac:dyDescent="0.35">
      <c r="A464" s="1">
        <v>463</v>
      </c>
      <c r="B464" t="s">
        <v>1602</v>
      </c>
      <c r="C464" s="2">
        <v>42482</v>
      </c>
      <c r="D464" s="2">
        <v>42489</v>
      </c>
      <c r="E464" s="2" t="str">
        <f t="shared" si="7"/>
        <v>Apr</v>
      </c>
      <c r="F464" s="5">
        <f>YEAR(Table1[[#This Row],[Order Date]])</f>
        <v>2016</v>
      </c>
      <c r="G464" t="s">
        <v>49</v>
      </c>
      <c r="H464" t="s">
        <v>1603</v>
      </c>
      <c r="I464" t="s">
        <v>1604</v>
      </c>
      <c r="J464" t="s">
        <v>101</v>
      </c>
      <c r="K464" t="s">
        <v>26</v>
      </c>
      <c r="L464" t="s">
        <v>543</v>
      </c>
      <c r="M464" t="s">
        <v>309</v>
      </c>
      <c r="N464">
        <v>85023</v>
      </c>
      <c r="O464" t="s">
        <v>43</v>
      </c>
      <c r="P464" t="s">
        <v>1286</v>
      </c>
      <c r="Q464" t="s">
        <v>31</v>
      </c>
      <c r="R464" t="s">
        <v>64</v>
      </c>
      <c r="S464" t="s">
        <v>1287</v>
      </c>
      <c r="T464">
        <v>23.56</v>
      </c>
      <c r="U464">
        <v>5</v>
      </c>
      <c r="V464">
        <v>0.2</v>
      </c>
      <c r="W464">
        <v>7.0679999999999996</v>
      </c>
    </row>
    <row r="465" spans="1:23" x14ac:dyDescent="0.35">
      <c r="A465" s="1">
        <v>464</v>
      </c>
      <c r="B465" t="s">
        <v>1602</v>
      </c>
      <c r="C465" s="2">
        <v>42482</v>
      </c>
      <c r="D465" s="2">
        <v>42489</v>
      </c>
      <c r="E465" s="2" t="str">
        <f t="shared" si="7"/>
        <v>Apr</v>
      </c>
      <c r="F465" s="5">
        <f>YEAR(Table1[[#This Row],[Order Date]])</f>
        <v>2016</v>
      </c>
      <c r="G465" t="s">
        <v>49</v>
      </c>
      <c r="H465" t="s">
        <v>1603</v>
      </c>
      <c r="I465" t="s">
        <v>1604</v>
      </c>
      <c r="J465" t="s">
        <v>101</v>
      </c>
      <c r="K465" t="s">
        <v>26</v>
      </c>
      <c r="L465" t="s">
        <v>543</v>
      </c>
      <c r="M465" t="s">
        <v>309</v>
      </c>
      <c r="N465">
        <v>85023</v>
      </c>
      <c r="O465" t="s">
        <v>43</v>
      </c>
      <c r="P465" t="s">
        <v>1605</v>
      </c>
      <c r="Q465" t="s">
        <v>31</v>
      </c>
      <c r="R465" t="s">
        <v>55</v>
      </c>
      <c r="S465" t="s">
        <v>1606</v>
      </c>
      <c r="T465">
        <v>1272.6300000000001</v>
      </c>
      <c r="U465">
        <v>6</v>
      </c>
      <c r="V465">
        <v>0.5</v>
      </c>
      <c r="W465">
        <v>-814.48320000000001</v>
      </c>
    </row>
    <row r="466" spans="1:23" x14ac:dyDescent="0.35">
      <c r="A466" s="1">
        <v>465</v>
      </c>
      <c r="B466" t="s">
        <v>1602</v>
      </c>
      <c r="C466" s="2">
        <v>42482</v>
      </c>
      <c r="D466" s="2">
        <v>42489</v>
      </c>
      <c r="E466" s="2" t="str">
        <f t="shared" si="7"/>
        <v>Apr</v>
      </c>
      <c r="F466" s="5">
        <f>YEAR(Table1[[#This Row],[Order Date]])</f>
        <v>2016</v>
      </c>
      <c r="G466" t="s">
        <v>49</v>
      </c>
      <c r="H466" t="s">
        <v>1603</v>
      </c>
      <c r="I466" t="s">
        <v>1604</v>
      </c>
      <c r="J466" t="s">
        <v>101</v>
      </c>
      <c r="K466" t="s">
        <v>26</v>
      </c>
      <c r="L466" t="s">
        <v>543</v>
      </c>
      <c r="M466" t="s">
        <v>309</v>
      </c>
      <c r="N466">
        <v>85023</v>
      </c>
      <c r="O466" t="s">
        <v>43</v>
      </c>
      <c r="P466" t="s">
        <v>1607</v>
      </c>
      <c r="Q466" t="s">
        <v>45</v>
      </c>
      <c r="R466" t="s">
        <v>74</v>
      </c>
      <c r="S466" t="s">
        <v>1608</v>
      </c>
      <c r="T466">
        <v>28.484999999999999</v>
      </c>
      <c r="U466">
        <v>5</v>
      </c>
      <c r="V466">
        <v>0.7</v>
      </c>
      <c r="W466">
        <v>-20.888999999999999</v>
      </c>
    </row>
    <row r="467" spans="1:23" x14ac:dyDescent="0.35">
      <c r="A467" s="1">
        <v>466</v>
      </c>
      <c r="B467" t="s">
        <v>1602</v>
      </c>
      <c r="C467" s="2">
        <v>42482</v>
      </c>
      <c r="D467" s="2">
        <v>42489</v>
      </c>
      <c r="E467" s="2" t="str">
        <f t="shared" si="7"/>
        <v>Apr</v>
      </c>
      <c r="F467" s="5">
        <f>YEAR(Table1[[#This Row],[Order Date]])</f>
        <v>2016</v>
      </c>
      <c r="G467" t="s">
        <v>49</v>
      </c>
      <c r="H467" t="s">
        <v>1603</v>
      </c>
      <c r="I467" t="s">
        <v>1604</v>
      </c>
      <c r="J467" t="s">
        <v>101</v>
      </c>
      <c r="K467" t="s">
        <v>26</v>
      </c>
      <c r="L467" t="s">
        <v>543</v>
      </c>
      <c r="M467" t="s">
        <v>309</v>
      </c>
      <c r="N467">
        <v>85023</v>
      </c>
      <c r="O467" t="s">
        <v>43</v>
      </c>
      <c r="P467" t="s">
        <v>1609</v>
      </c>
      <c r="Q467" t="s">
        <v>45</v>
      </c>
      <c r="R467" t="s">
        <v>578</v>
      </c>
      <c r="S467" t="s">
        <v>1610</v>
      </c>
      <c r="T467">
        <v>185.376</v>
      </c>
      <c r="U467">
        <v>2</v>
      </c>
      <c r="V467">
        <v>0.2</v>
      </c>
      <c r="W467">
        <v>-34.758000000000003</v>
      </c>
    </row>
    <row r="468" spans="1:23" x14ac:dyDescent="0.35">
      <c r="A468" s="1">
        <v>467</v>
      </c>
      <c r="B468" t="s">
        <v>1602</v>
      </c>
      <c r="C468" s="2">
        <v>42482</v>
      </c>
      <c r="D468" s="2">
        <v>42489</v>
      </c>
      <c r="E468" s="2" t="str">
        <f t="shared" si="7"/>
        <v>Apr</v>
      </c>
      <c r="F468" s="5">
        <f>YEAR(Table1[[#This Row],[Order Date]])</f>
        <v>2016</v>
      </c>
      <c r="G468" t="s">
        <v>49</v>
      </c>
      <c r="H468" t="s">
        <v>1603</v>
      </c>
      <c r="I468" t="s">
        <v>1604</v>
      </c>
      <c r="J468" t="s">
        <v>101</v>
      </c>
      <c r="K468" t="s">
        <v>26</v>
      </c>
      <c r="L468" t="s">
        <v>543</v>
      </c>
      <c r="M468" t="s">
        <v>309</v>
      </c>
      <c r="N468">
        <v>85023</v>
      </c>
      <c r="O468" t="s">
        <v>43</v>
      </c>
      <c r="P468" t="s">
        <v>1611</v>
      </c>
      <c r="Q468" t="s">
        <v>45</v>
      </c>
      <c r="R468" t="s">
        <v>77</v>
      </c>
      <c r="S468" t="s">
        <v>1612</v>
      </c>
      <c r="T468">
        <v>78.272000000000006</v>
      </c>
      <c r="U468">
        <v>2</v>
      </c>
      <c r="V468">
        <v>0.2</v>
      </c>
      <c r="W468">
        <v>5.8704000000000001</v>
      </c>
    </row>
    <row r="469" spans="1:23" x14ac:dyDescent="0.35">
      <c r="A469" s="1">
        <v>468</v>
      </c>
      <c r="B469" t="s">
        <v>1613</v>
      </c>
      <c r="C469" s="2">
        <v>42021</v>
      </c>
      <c r="D469" s="2">
        <v>42028</v>
      </c>
      <c r="E469" s="2" t="str">
        <f t="shared" si="7"/>
        <v>Jan</v>
      </c>
      <c r="F469" s="5">
        <f>YEAR(Table1[[#This Row],[Order Date]])</f>
        <v>2015</v>
      </c>
      <c r="G469" t="s">
        <v>49</v>
      </c>
      <c r="H469" t="s">
        <v>1614</v>
      </c>
      <c r="I469" t="s">
        <v>1615</v>
      </c>
      <c r="J469" t="s">
        <v>101</v>
      </c>
      <c r="K469" t="s">
        <v>26</v>
      </c>
      <c r="L469" t="s">
        <v>1616</v>
      </c>
      <c r="M469" t="s">
        <v>210</v>
      </c>
      <c r="N469">
        <v>60068</v>
      </c>
      <c r="O469" t="s">
        <v>104</v>
      </c>
      <c r="P469" t="s">
        <v>1088</v>
      </c>
      <c r="Q469" t="s">
        <v>31</v>
      </c>
      <c r="R469" t="s">
        <v>64</v>
      </c>
      <c r="S469" t="s">
        <v>1089</v>
      </c>
      <c r="T469">
        <v>254.744</v>
      </c>
      <c r="U469">
        <v>7</v>
      </c>
      <c r="V469">
        <v>0.6</v>
      </c>
      <c r="W469">
        <v>-312.06139999999999</v>
      </c>
    </row>
    <row r="470" spans="1:23" x14ac:dyDescent="0.35">
      <c r="A470" s="1">
        <v>469</v>
      </c>
      <c r="B470" t="s">
        <v>1617</v>
      </c>
      <c r="C470" s="2">
        <v>42825</v>
      </c>
      <c r="D470" s="2">
        <v>42829</v>
      </c>
      <c r="E470" s="2" t="str">
        <f t="shared" si="7"/>
        <v>Mar</v>
      </c>
      <c r="F470" s="5">
        <f>YEAR(Table1[[#This Row],[Order Date]])</f>
        <v>2017</v>
      </c>
      <c r="G470" t="s">
        <v>49</v>
      </c>
      <c r="H470" t="s">
        <v>879</v>
      </c>
      <c r="I470" t="s">
        <v>880</v>
      </c>
      <c r="J470" t="s">
        <v>40</v>
      </c>
      <c r="K470" t="s">
        <v>26</v>
      </c>
      <c r="L470" t="s">
        <v>1618</v>
      </c>
      <c r="M470" t="s">
        <v>103</v>
      </c>
      <c r="N470">
        <v>79109</v>
      </c>
      <c r="O470" t="s">
        <v>104</v>
      </c>
      <c r="P470" t="s">
        <v>1619</v>
      </c>
      <c r="Q470" t="s">
        <v>31</v>
      </c>
      <c r="R470" t="s">
        <v>32</v>
      </c>
      <c r="S470" t="s">
        <v>1620</v>
      </c>
      <c r="T470">
        <v>205.33279999999999</v>
      </c>
      <c r="U470">
        <v>2</v>
      </c>
      <c r="V470">
        <v>0.32</v>
      </c>
      <c r="W470">
        <v>-36.235199999999999</v>
      </c>
    </row>
    <row r="471" spans="1:23" x14ac:dyDescent="0.35">
      <c r="A471" s="1">
        <v>470</v>
      </c>
      <c r="B471" t="s">
        <v>1621</v>
      </c>
      <c r="C471" s="2">
        <v>42720</v>
      </c>
      <c r="D471" s="2">
        <v>42724</v>
      </c>
      <c r="E471" s="2" t="str">
        <f t="shared" si="7"/>
        <v>Dec</v>
      </c>
      <c r="F471" s="5">
        <f>YEAR(Table1[[#This Row],[Order Date]])</f>
        <v>2016</v>
      </c>
      <c r="G471" t="s">
        <v>22</v>
      </c>
      <c r="H471" t="s">
        <v>967</v>
      </c>
      <c r="I471" t="s">
        <v>968</v>
      </c>
      <c r="J471" t="s">
        <v>25</v>
      </c>
      <c r="K471" t="s">
        <v>26</v>
      </c>
      <c r="L471" t="s">
        <v>302</v>
      </c>
      <c r="M471" t="s">
        <v>210</v>
      </c>
      <c r="N471">
        <v>60610</v>
      </c>
      <c r="O471" t="s">
        <v>104</v>
      </c>
      <c r="P471" t="s">
        <v>1622</v>
      </c>
      <c r="Q471" t="s">
        <v>45</v>
      </c>
      <c r="R471" t="s">
        <v>74</v>
      </c>
      <c r="S471" t="s">
        <v>1623</v>
      </c>
      <c r="T471">
        <v>4.7880000000000003</v>
      </c>
      <c r="U471">
        <v>3</v>
      </c>
      <c r="V471">
        <v>0.8</v>
      </c>
      <c r="W471">
        <v>-7.9001999999999999</v>
      </c>
    </row>
    <row r="472" spans="1:23" x14ac:dyDescent="0.35">
      <c r="A472" s="1">
        <v>471</v>
      </c>
      <c r="B472" t="s">
        <v>1624</v>
      </c>
      <c r="C472" s="2">
        <v>42358</v>
      </c>
      <c r="D472" s="2">
        <v>42362</v>
      </c>
      <c r="E472" s="2" t="str">
        <f t="shared" si="7"/>
        <v>Dec</v>
      </c>
      <c r="F472" s="5">
        <f>YEAR(Table1[[#This Row],[Order Date]])</f>
        <v>2015</v>
      </c>
      <c r="G472" t="s">
        <v>49</v>
      </c>
      <c r="H472" t="s">
        <v>1625</v>
      </c>
      <c r="I472" t="s">
        <v>1626</v>
      </c>
      <c r="J472" t="s">
        <v>40</v>
      </c>
      <c r="K472" t="s">
        <v>26</v>
      </c>
      <c r="L472" t="s">
        <v>1627</v>
      </c>
      <c r="M472" t="s">
        <v>266</v>
      </c>
      <c r="N472">
        <v>11757</v>
      </c>
      <c r="O472" t="s">
        <v>147</v>
      </c>
      <c r="P472" t="s">
        <v>1628</v>
      </c>
      <c r="Q472" t="s">
        <v>45</v>
      </c>
      <c r="R472" t="s">
        <v>89</v>
      </c>
      <c r="S472" t="s">
        <v>1629</v>
      </c>
      <c r="T472">
        <v>55.48</v>
      </c>
      <c r="U472">
        <v>1</v>
      </c>
      <c r="V472">
        <v>0</v>
      </c>
      <c r="W472">
        <v>26.630400000000002</v>
      </c>
    </row>
    <row r="473" spans="1:23" x14ac:dyDescent="0.35">
      <c r="A473" s="1">
        <v>472</v>
      </c>
      <c r="B473" t="s">
        <v>1630</v>
      </c>
      <c r="C473" s="2">
        <v>41952</v>
      </c>
      <c r="D473" s="2">
        <v>41954</v>
      </c>
      <c r="E473" s="2" t="str">
        <f t="shared" si="7"/>
        <v>Nov</v>
      </c>
      <c r="F473" s="5">
        <f>YEAR(Table1[[#This Row],[Order Date]])</f>
        <v>2014</v>
      </c>
      <c r="G473" t="s">
        <v>22</v>
      </c>
      <c r="H473" t="s">
        <v>1631</v>
      </c>
      <c r="I473" t="s">
        <v>1632</v>
      </c>
      <c r="J473" t="s">
        <v>25</v>
      </c>
      <c r="K473" t="s">
        <v>26</v>
      </c>
      <c r="L473" t="s">
        <v>126</v>
      </c>
      <c r="M473" t="s">
        <v>42</v>
      </c>
      <c r="N473">
        <v>94110</v>
      </c>
      <c r="O473" t="s">
        <v>43</v>
      </c>
      <c r="P473" t="s">
        <v>1633</v>
      </c>
      <c r="Q473" t="s">
        <v>45</v>
      </c>
      <c r="R473" t="s">
        <v>58</v>
      </c>
      <c r="S473" t="s">
        <v>1634</v>
      </c>
      <c r="T473">
        <v>340.92</v>
      </c>
      <c r="U473">
        <v>3</v>
      </c>
      <c r="V473">
        <v>0</v>
      </c>
      <c r="W473">
        <v>3.4091999999999998</v>
      </c>
    </row>
    <row r="474" spans="1:23" x14ac:dyDescent="0.35">
      <c r="A474" s="1">
        <v>473</v>
      </c>
      <c r="B474" t="s">
        <v>1630</v>
      </c>
      <c r="C474" s="2">
        <v>41952</v>
      </c>
      <c r="D474" s="2">
        <v>41954</v>
      </c>
      <c r="E474" s="2" t="str">
        <f t="shared" si="7"/>
        <v>Nov</v>
      </c>
      <c r="F474" s="5">
        <f>YEAR(Table1[[#This Row],[Order Date]])</f>
        <v>2014</v>
      </c>
      <c r="G474" t="s">
        <v>22</v>
      </c>
      <c r="H474" t="s">
        <v>1631</v>
      </c>
      <c r="I474" t="s">
        <v>1632</v>
      </c>
      <c r="J474" t="s">
        <v>25</v>
      </c>
      <c r="K474" t="s">
        <v>26</v>
      </c>
      <c r="L474" t="s">
        <v>126</v>
      </c>
      <c r="M474" t="s">
        <v>42</v>
      </c>
      <c r="N474">
        <v>94110</v>
      </c>
      <c r="O474" t="s">
        <v>43</v>
      </c>
      <c r="P474" t="s">
        <v>1635</v>
      </c>
      <c r="Q474" t="s">
        <v>31</v>
      </c>
      <c r="R474" t="s">
        <v>32</v>
      </c>
      <c r="S474" t="s">
        <v>1636</v>
      </c>
      <c r="T474">
        <v>222.666</v>
      </c>
      <c r="U474">
        <v>2</v>
      </c>
      <c r="V474">
        <v>0.15</v>
      </c>
      <c r="W474">
        <v>10.478400000000001</v>
      </c>
    </row>
    <row r="475" spans="1:23" x14ac:dyDescent="0.35">
      <c r="A475" s="1">
        <v>474</v>
      </c>
      <c r="B475" t="s">
        <v>1630</v>
      </c>
      <c r="C475" s="2">
        <v>41952</v>
      </c>
      <c r="D475" s="2">
        <v>41954</v>
      </c>
      <c r="E475" s="2" t="str">
        <f t="shared" si="7"/>
        <v>Nov</v>
      </c>
      <c r="F475" s="5">
        <f>YEAR(Table1[[#This Row],[Order Date]])</f>
        <v>2014</v>
      </c>
      <c r="G475" t="s">
        <v>22</v>
      </c>
      <c r="H475" t="s">
        <v>1631</v>
      </c>
      <c r="I475" t="s">
        <v>1632</v>
      </c>
      <c r="J475" t="s">
        <v>25</v>
      </c>
      <c r="K475" t="s">
        <v>26</v>
      </c>
      <c r="L475" t="s">
        <v>126</v>
      </c>
      <c r="M475" t="s">
        <v>42</v>
      </c>
      <c r="N475">
        <v>94110</v>
      </c>
      <c r="O475" t="s">
        <v>43</v>
      </c>
      <c r="P475" t="s">
        <v>1637</v>
      </c>
      <c r="Q475" t="s">
        <v>70</v>
      </c>
      <c r="R475" t="s">
        <v>71</v>
      </c>
      <c r="S475" t="s">
        <v>1638</v>
      </c>
      <c r="T475">
        <v>703.96799999999996</v>
      </c>
      <c r="U475">
        <v>4</v>
      </c>
      <c r="V475">
        <v>0.2</v>
      </c>
      <c r="W475">
        <v>87.995999999999995</v>
      </c>
    </row>
    <row r="476" spans="1:23" x14ac:dyDescent="0.35">
      <c r="A476" s="1">
        <v>475</v>
      </c>
      <c r="B476" t="s">
        <v>1630</v>
      </c>
      <c r="C476" s="2">
        <v>41952</v>
      </c>
      <c r="D476" s="2">
        <v>41954</v>
      </c>
      <c r="E476" s="2" t="str">
        <f t="shared" si="7"/>
        <v>Nov</v>
      </c>
      <c r="F476" s="5">
        <f>YEAR(Table1[[#This Row],[Order Date]])</f>
        <v>2014</v>
      </c>
      <c r="G476" t="s">
        <v>22</v>
      </c>
      <c r="H476" t="s">
        <v>1631</v>
      </c>
      <c r="I476" t="s">
        <v>1632</v>
      </c>
      <c r="J476" t="s">
        <v>25</v>
      </c>
      <c r="K476" t="s">
        <v>26</v>
      </c>
      <c r="L476" t="s">
        <v>126</v>
      </c>
      <c r="M476" t="s">
        <v>42</v>
      </c>
      <c r="N476">
        <v>94110</v>
      </c>
      <c r="O476" t="s">
        <v>43</v>
      </c>
      <c r="P476" t="s">
        <v>1639</v>
      </c>
      <c r="Q476" t="s">
        <v>45</v>
      </c>
      <c r="R476" t="s">
        <v>58</v>
      </c>
      <c r="S476" t="s">
        <v>1640</v>
      </c>
      <c r="T476">
        <v>92.52</v>
      </c>
      <c r="U476">
        <v>6</v>
      </c>
      <c r="V476">
        <v>0</v>
      </c>
      <c r="W476">
        <v>24.980399999999999</v>
      </c>
    </row>
    <row r="477" spans="1:23" x14ac:dyDescent="0.35">
      <c r="A477" s="1">
        <v>476</v>
      </c>
      <c r="B477" t="s">
        <v>1630</v>
      </c>
      <c r="C477" s="2">
        <v>41952</v>
      </c>
      <c r="D477" s="2">
        <v>41954</v>
      </c>
      <c r="E477" s="2" t="str">
        <f t="shared" si="7"/>
        <v>Nov</v>
      </c>
      <c r="F477" s="5">
        <f>YEAR(Table1[[#This Row],[Order Date]])</f>
        <v>2014</v>
      </c>
      <c r="G477" t="s">
        <v>22</v>
      </c>
      <c r="H477" t="s">
        <v>1631</v>
      </c>
      <c r="I477" t="s">
        <v>1632</v>
      </c>
      <c r="J477" t="s">
        <v>25</v>
      </c>
      <c r="K477" t="s">
        <v>26</v>
      </c>
      <c r="L477" t="s">
        <v>126</v>
      </c>
      <c r="M477" t="s">
        <v>42</v>
      </c>
      <c r="N477">
        <v>94110</v>
      </c>
      <c r="O477" t="s">
        <v>43</v>
      </c>
      <c r="P477" t="s">
        <v>1641</v>
      </c>
      <c r="Q477" t="s">
        <v>45</v>
      </c>
      <c r="R477" t="s">
        <v>89</v>
      </c>
      <c r="S477" t="s">
        <v>1642</v>
      </c>
      <c r="T477">
        <v>62.65</v>
      </c>
      <c r="U477">
        <v>7</v>
      </c>
      <c r="V477">
        <v>0</v>
      </c>
      <c r="W477">
        <v>28.818999999999999</v>
      </c>
    </row>
    <row r="478" spans="1:23" x14ac:dyDescent="0.35">
      <c r="A478" s="1">
        <v>477</v>
      </c>
      <c r="B478" t="s">
        <v>1630</v>
      </c>
      <c r="C478" s="2">
        <v>41952</v>
      </c>
      <c r="D478" s="2">
        <v>41954</v>
      </c>
      <c r="E478" s="2" t="str">
        <f t="shared" si="7"/>
        <v>Nov</v>
      </c>
      <c r="F478" s="5">
        <f>YEAR(Table1[[#This Row],[Order Date]])</f>
        <v>2014</v>
      </c>
      <c r="G478" t="s">
        <v>22</v>
      </c>
      <c r="H478" t="s">
        <v>1631</v>
      </c>
      <c r="I478" t="s">
        <v>1632</v>
      </c>
      <c r="J478" t="s">
        <v>25</v>
      </c>
      <c r="K478" t="s">
        <v>26</v>
      </c>
      <c r="L478" t="s">
        <v>126</v>
      </c>
      <c r="M478" t="s">
        <v>42</v>
      </c>
      <c r="N478">
        <v>94110</v>
      </c>
      <c r="O478" t="s">
        <v>43</v>
      </c>
      <c r="P478" t="s">
        <v>1643</v>
      </c>
      <c r="Q478" t="s">
        <v>45</v>
      </c>
      <c r="R478" t="s">
        <v>89</v>
      </c>
      <c r="S478" t="s">
        <v>1644</v>
      </c>
      <c r="T478">
        <v>94.85</v>
      </c>
      <c r="U478">
        <v>5</v>
      </c>
      <c r="V478">
        <v>0</v>
      </c>
      <c r="W478">
        <v>45.527999999999999</v>
      </c>
    </row>
    <row r="479" spans="1:23" x14ac:dyDescent="0.35">
      <c r="A479" s="1">
        <v>478</v>
      </c>
      <c r="B479" t="s">
        <v>1645</v>
      </c>
      <c r="C479" s="2">
        <v>42563</v>
      </c>
      <c r="D479" s="2">
        <v>42570</v>
      </c>
      <c r="E479" s="2" t="str">
        <f t="shared" si="7"/>
        <v>Jul</v>
      </c>
      <c r="F479" s="5">
        <f>YEAR(Table1[[#This Row],[Order Date]])</f>
        <v>2016</v>
      </c>
      <c r="G479" t="s">
        <v>49</v>
      </c>
      <c r="H479" t="s">
        <v>1015</v>
      </c>
      <c r="I479" t="s">
        <v>1016</v>
      </c>
      <c r="J479" t="s">
        <v>40</v>
      </c>
      <c r="K479" t="s">
        <v>26</v>
      </c>
      <c r="L479" t="s">
        <v>41</v>
      </c>
      <c r="M479" t="s">
        <v>42</v>
      </c>
      <c r="N479">
        <v>90008</v>
      </c>
      <c r="O479" t="s">
        <v>43</v>
      </c>
      <c r="P479" t="s">
        <v>1646</v>
      </c>
      <c r="Q479" t="s">
        <v>70</v>
      </c>
      <c r="R479" t="s">
        <v>71</v>
      </c>
      <c r="S479" t="s">
        <v>1647</v>
      </c>
      <c r="T479">
        <v>95.76</v>
      </c>
      <c r="U479">
        <v>6</v>
      </c>
      <c r="V479">
        <v>0.2</v>
      </c>
      <c r="W479">
        <v>7.1820000000000004</v>
      </c>
    </row>
    <row r="480" spans="1:23" x14ac:dyDescent="0.35">
      <c r="A480" s="1">
        <v>479</v>
      </c>
      <c r="B480" t="s">
        <v>1648</v>
      </c>
      <c r="C480" s="2">
        <v>42670</v>
      </c>
      <c r="D480" s="2">
        <v>42676</v>
      </c>
      <c r="E480" s="2" t="str">
        <f t="shared" si="7"/>
        <v>Oct</v>
      </c>
      <c r="F480" s="5">
        <f>YEAR(Table1[[#This Row],[Order Date]])</f>
        <v>2016</v>
      </c>
      <c r="G480" t="s">
        <v>49</v>
      </c>
      <c r="H480" t="s">
        <v>1649</v>
      </c>
      <c r="I480" t="s">
        <v>1650</v>
      </c>
      <c r="J480" t="s">
        <v>25</v>
      </c>
      <c r="K480" t="s">
        <v>26</v>
      </c>
      <c r="L480" t="s">
        <v>275</v>
      </c>
      <c r="M480" t="s">
        <v>266</v>
      </c>
      <c r="N480">
        <v>12180</v>
      </c>
      <c r="O480" t="s">
        <v>147</v>
      </c>
      <c r="P480" t="s">
        <v>1112</v>
      </c>
      <c r="Q480" t="s">
        <v>31</v>
      </c>
      <c r="R480" t="s">
        <v>64</v>
      </c>
      <c r="S480" t="s">
        <v>1113</v>
      </c>
      <c r="T480">
        <v>40.200000000000003</v>
      </c>
      <c r="U480">
        <v>3</v>
      </c>
      <c r="V480">
        <v>0</v>
      </c>
      <c r="W480">
        <v>19.295999999999999</v>
      </c>
    </row>
    <row r="481" spans="1:23" x14ac:dyDescent="0.35">
      <c r="A481" s="1">
        <v>480</v>
      </c>
      <c r="B481" t="s">
        <v>1651</v>
      </c>
      <c r="C481" s="2">
        <v>42547</v>
      </c>
      <c r="D481" s="2">
        <v>42553</v>
      </c>
      <c r="E481" s="2" t="str">
        <f t="shared" si="7"/>
        <v>Jun</v>
      </c>
      <c r="F481" s="5">
        <f>YEAR(Table1[[#This Row],[Order Date]])</f>
        <v>2016</v>
      </c>
      <c r="G481" t="s">
        <v>49</v>
      </c>
      <c r="H481" t="s">
        <v>1652</v>
      </c>
      <c r="I481" t="s">
        <v>1653</v>
      </c>
      <c r="J481" t="s">
        <v>40</v>
      </c>
      <c r="K481" t="s">
        <v>26</v>
      </c>
      <c r="L481" t="s">
        <v>265</v>
      </c>
      <c r="M481" t="s">
        <v>266</v>
      </c>
      <c r="N481">
        <v>10024</v>
      </c>
      <c r="O481" t="s">
        <v>147</v>
      </c>
      <c r="P481" t="s">
        <v>1654</v>
      </c>
      <c r="Q481" t="s">
        <v>45</v>
      </c>
      <c r="R481" t="s">
        <v>67</v>
      </c>
      <c r="S481" t="s">
        <v>1655</v>
      </c>
      <c r="T481">
        <v>14.7</v>
      </c>
      <c r="U481">
        <v>5</v>
      </c>
      <c r="V481">
        <v>0</v>
      </c>
      <c r="W481">
        <v>6.6150000000000002</v>
      </c>
    </row>
    <row r="482" spans="1:23" x14ac:dyDescent="0.35">
      <c r="A482" s="1">
        <v>481</v>
      </c>
      <c r="B482" t="s">
        <v>1651</v>
      </c>
      <c r="C482" s="2">
        <v>42547</v>
      </c>
      <c r="D482" s="2">
        <v>42553</v>
      </c>
      <c r="E482" s="2" t="str">
        <f t="shared" si="7"/>
        <v>Jun</v>
      </c>
      <c r="F482" s="5">
        <f>YEAR(Table1[[#This Row],[Order Date]])</f>
        <v>2016</v>
      </c>
      <c r="G482" t="s">
        <v>49</v>
      </c>
      <c r="H482" t="s">
        <v>1652</v>
      </c>
      <c r="I482" t="s">
        <v>1653</v>
      </c>
      <c r="J482" t="s">
        <v>40</v>
      </c>
      <c r="K482" t="s">
        <v>26</v>
      </c>
      <c r="L482" t="s">
        <v>265</v>
      </c>
      <c r="M482" t="s">
        <v>266</v>
      </c>
      <c r="N482">
        <v>10024</v>
      </c>
      <c r="O482" t="s">
        <v>147</v>
      </c>
      <c r="P482" t="s">
        <v>1656</v>
      </c>
      <c r="Q482" t="s">
        <v>45</v>
      </c>
      <c r="R482" t="s">
        <v>58</v>
      </c>
      <c r="S482" t="s">
        <v>1657</v>
      </c>
      <c r="T482">
        <v>704.25</v>
      </c>
      <c r="U482">
        <v>5</v>
      </c>
      <c r="V482">
        <v>0</v>
      </c>
      <c r="W482">
        <v>84.51</v>
      </c>
    </row>
    <row r="483" spans="1:23" x14ac:dyDescent="0.35">
      <c r="A483" s="1">
        <v>482</v>
      </c>
      <c r="B483" t="s">
        <v>1658</v>
      </c>
      <c r="C483" s="2">
        <v>41918</v>
      </c>
      <c r="D483" s="2">
        <v>41922</v>
      </c>
      <c r="E483" s="2" t="str">
        <f t="shared" si="7"/>
        <v>Oct</v>
      </c>
      <c r="F483" s="5">
        <f>YEAR(Table1[[#This Row],[Order Date]])</f>
        <v>2014</v>
      </c>
      <c r="G483" t="s">
        <v>49</v>
      </c>
      <c r="H483" t="s">
        <v>1659</v>
      </c>
      <c r="I483" t="s">
        <v>1660</v>
      </c>
      <c r="J483" t="s">
        <v>25</v>
      </c>
      <c r="K483" t="s">
        <v>26</v>
      </c>
      <c r="L483" t="s">
        <v>949</v>
      </c>
      <c r="M483" t="s">
        <v>42</v>
      </c>
      <c r="N483">
        <v>92024</v>
      </c>
      <c r="O483" t="s">
        <v>43</v>
      </c>
      <c r="P483" t="s">
        <v>1661</v>
      </c>
      <c r="Q483" t="s">
        <v>70</v>
      </c>
      <c r="R483" t="s">
        <v>160</v>
      </c>
      <c r="S483" t="s">
        <v>1662</v>
      </c>
      <c r="T483">
        <v>9.09</v>
      </c>
      <c r="U483">
        <v>3</v>
      </c>
      <c r="V483">
        <v>0</v>
      </c>
      <c r="W483">
        <v>1.9089</v>
      </c>
    </row>
    <row r="484" spans="1:23" x14ac:dyDescent="0.35">
      <c r="A484" s="1">
        <v>483</v>
      </c>
      <c r="B484" t="s">
        <v>1663</v>
      </c>
      <c r="C484" s="2">
        <v>41842</v>
      </c>
      <c r="D484" s="2">
        <v>41847</v>
      </c>
      <c r="E484" s="2" t="str">
        <f t="shared" si="7"/>
        <v>Jul</v>
      </c>
      <c r="F484" s="5">
        <f>YEAR(Table1[[#This Row],[Order Date]])</f>
        <v>2014</v>
      </c>
      <c r="G484" t="s">
        <v>49</v>
      </c>
      <c r="H484" t="s">
        <v>1664</v>
      </c>
      <c r="I484" t="s">
        <v>1665</v>
      </c>
      <c r="J484" t="s">
        <v>25</v>
      </c>
      <c r="K484" t="s">
        <v>26</v>
      </c>
      <c r="L484" t="s">
        <v>265</v>
      </c>
      <c r="M484" t="s">
        <v>266</v>
      </c>
      <c r="N484">
        <v>10024</v>
      </c>
      <c r="O484" t="s">
        <v>147</v>
      </c>
      <c r="P484" t="s">
        <v>365</v>
      </c>
      <c r="Q484" t="s">
        <v>45</v>
      </c>
      <c r="R484" t="s">
        <v>67</v>
      </c>
      <c r="S484" t="s">
        <v>366</v>
      </c>
      <c r="T484">
        <v>5.96</v>
      </c>
      <c r="U484">
        <v>2</v>
      </c>
      <c r="V484">
        <v>0</v>
      </c>
      <c r="W484">
        <v>1.6688000000000001</v>
      </c>
    </row>
    <row r="485" spans="1:23" x14ac:dyDescent="0.35">
      <c r="A485" s="1">
        <v>484</v>
      </c>
      <c r="B485" t="s">
        <v>1663</v>
      </c>
      <c r="C485" s="2">
        <v>41842</v>
      </c>
      <c r="D485" s="2">
        <v>41847</v>
      </c>
      <c r="E485" s="2" t="str">
        <f t="shared" si="7"/>
        <v>Jul</v>
      </c>
      <c r="F485" s="5">
        <f>YEAR(Table1[[#This Row],[Order Date]])</f>
        <v>2014</v>
      </c>
      <c r="G485" t="s">
        <v>49</v>
      </c>
      <c r="H485" t="s">
        <v>1664</v>
      </c>
      <c r="I485" t="s">
        <v>1665</v>
      </c>
      <c r="J485" t="s">
        <v>25</v>
      </c>
      <c r="K485" t="s">
        <v>26</v>
      </c>
      <c r="L485" t="s">
        <v>265</v>
      </c>
      <c r="M485" t="s">
        <v>266</v>
      </c>
      <c r="N485">
        <v>10024</v>
      </c>
      <c r="O485" t="s">
        <v>147</v>
      </c>
      <c r="P485" t="s">
        <v>1666</v>
      </c>
      <c r="Q485" t="s">
        <v>70</v>
      </c>
      <c r="R485" t="s">
        <v>160</v>
      </c>
      <c r="S485" t="s">
        <v>1667</v>
      </c>
      <c r="T485">
        <v>159.97999999999999</v>
      </c>
      <c r="U485">
        <v>2</v>
      </c>
      <c r="V485">
        <v>0</v>
      </c>
      <c r="W485">
        <v>57.592799999999997</v>
      </c>
    </row>
    <row r="486" spans="1:23" x14ac:dyDescent="0.35">
      <c r="A486" s="1">
        <v>485</v>
      </c>
      <c r="B486" t="s">
        <v>1668</v>
      </c>
      <c r="C486" s="2">
        <v>42896</v>
      </c>
      <c r="D486" s="2">
        <v>42899</v>
      </c>
      <c r="E486" s="2" t="str">
        <f t="shared" si="7"/>
        <v>Jun</v>
      </c>
      <c r="F486" s="5">
        <f>YEAR(Table1[[#This Row],[Order Date]])</f>
        <v>2017</v>
      </c>
      <c r="G486" t="s">
        <v>187</v>
      </c>
      <c r="H486" t="s">
        <v>1669</v>
      </c>
      <c r="I486" t="s">
        <v>1670</v>
      </c>
      <c r="J486" t="s">
        <v>101</v>
      </c>
      <c r="K486" t="s">
        <v>26</v>
      </c>
      <c r="L486" t="s">
        <v>41</v>
      </c>
      <c r="M486" t="s">
        <v>42</v>
      </c>
      <c r="N486">
        <v>90045</v>
      </c>
      <c r="O486" t="s">
        <v>43</v>
      </c>
      <c r="P486" t="s">
        <v>1671</v>
      </c>
      <c r="Q486" t="s">
        <v>45</v>
      </c>
      <c r="R486" t="s">
        <v>46</v>
      </c>
      <c r="S486" t="s">
        <v>1672</v>
      </c>
      <c r="T486">
        <v>29.6</v>
      </c>
      <c r="U486">
        <v>2</v>
      </c>
      <c r="V486">
        <v>0</v>
      </c>
      <c r="W486">
        <v>14.8</v>
      </c>
    </row>
    <row r="487" spans="1:23" x14ac:dyDescent="0.35">
      <c r="A487" s="1">
        <v>486</v>
      </c>
      <c r="B487" t="s">
        <v>1668</v>
      </c>
      <c r="C487" s="2">
        <v>42896</v>
      </c>
      <c r="D487" s="2">
        <v>42899</v>
      </c>
      <c r="E487" s="2" t="str">
        <f t="shared" si="7"/>
        <v>Jun</v>
      </c>
      <c r="F487" s="5">
        <f>YEAR(Table1[[#This Row],[Order Date]])</f>
        <v>2017</v>
      </c>
      <c r="G487" t="s">
        <v>187</v>
      </c>
      <c r="H487" t="s">
        <v>1669</v>
      </c>
      <c r="I487" t="s">
        <v>1670</v>
      </c>
      <c r="J487" t="s">
        <v>101</v>
      </c>
      <c r="K487" t="s">
        <v>26</v>
      </c>
      <c r="L487" t="s">
        <v>41</v>
      </c>
      <c r="M487" t="s">
        <v>42</v>
      </c>
      <c r="N487">
        <v>90045</v>
      </c>
      <c r="O487" t="s">
        <v>43</v>
      </c>
      <c r="P487" t="s">
        <v>1673</v>
      </c>
      <c r="Q487" t="s">
        <v>31</v>
      </c>
      <c r="R487" t="s">
        <v>32</v>
      </c>
      <c r="S487" t="s">
        <v>1674</v>
      </c>
      <c r="T487">
        <v>514.16499999999996</v>
      </c>
      <c r="U487">
        <v>5</v>
      </c>
      <c r="V487">
        <v>0.15</v>
      </c>
      <c r="W487">
        <v>-30.245000000000001</v>
      </c>
    </row>
    <row r="488" spans="1:23" x14ac:dyDescent="0.35">
      <c r="A488" s="1">
        <v>487</v>
      </c>
      <c r="B488" t="s">
        <v>1668</v>
      </c>
      <c r="C488" s="2">
        <v>42896</v>
      </c>
      <c r="D488" s="2">
        <v>42899</v>
      </c>
      <c r="E488" s="2" t="str">
        <f t="shared" si="7"/>
        <v>Jun</v>
      </c>
      <c r="F488" s="5">
        <f>YEAR(Table1[[#This Row],[Order Date]])</f>
        <v>2017</v>
      </c>
      <c r="G488" t="s">
        <v>187</v>
      </c>
      <c r="H488" t="s">
        <v>1669</v>
      </c>
      <c r="I488" t="s">
        <v>1670</v>
      </c>
      <c r="J488" t="s">
        <v>101</v>
      </c>
      <c r="K488" t="s">
        <v>26</v>
      </c>
      <c r="L488" t="s">
        <v>41</v>
      </c>
      <c r="M488" t="s">
        <v>42</v>
      </c>
      <c r="N488">
        <v>90045</v>
      </c>
      <c r="O488" t="s">
        <v>43</v>
      </c>
      <c r="P488" t="s">
        <v>1675</v>
      </c>
      <c r="Q488" t="s">
        <v>70</v>
      </c>
      <c r="R488" t="s">
        <v>71</v>
      </c>
      <c r="S488" t="s">
        <v>1676</v>
      </c>
      <c r="T488">
        <v>279.95999999999998</v>
      </c>
      <c r="U488">
        <v>5</v>
      </c>
      <c r="V488">
        <v>0.2</v>
      </c>
      <c r="W488">
        <v>17.497499999999999</v>
      </c>
    </row>
    <row r="489" spans="1:23" x14ac:dyDescent="0.35">
      <c r="A489" s="1">
        <v>488</v>
      </c>
      <c r="B489" t="s">
        <v>1677</v>
      </c>
      <c r="C489" s="2">
        <v>41941</v>
      </c>
      <c r="D489" s="2">
        <v>41943</v>
      </c>
      <c r="E489" s="2" t="str">
        <f t="shared" si="7"/>
        <v>Oct</v>
      </c>
      <c r="F489" s="5">
        <f>YEAR(Table1[[#This Row],[Order Date]])</f>
        <v>2014</v>
      </c>
      <c r="G489" t="s">
        <v>187</v>
      </c>
      <c r="H489" t="s">
        <v>1678</v>
      </c>
      <c r="I489" t="s">
        <v>1679</v>
      </c>
      <c r="J489" t="s">
        <v>25</v>
      </c>
      <c r="K489" t="s">
        <v>26</v>
      </c>
      <c r="L489" t="s">
        <v>302</v>
      </c>
      <c r="M489" t="s">
        <v>210</v>
      </c>
      <c r="N489">
        <v>60610</v>
      </c>
      <c r="O489" t="s">
        <v>104</v>
      </c>
      <c r="P489" t="s">
        <v>1680</v>
      </c>
      <c r="Q489" t="s">
        <v>70</v>
      </c>
      <c r="R489" t="s">
        <v>71</v>
      </c>
      <c r="S489" t="s">
        <v>1681</v>
      </c>
      <c r="T489">
        <v>2735.9520000000002</v>
      </c>
      <c r="U489">
        <v>6</v>
      </c>
      <c r="V489">
        <v>0.2</v>
      </c>
      <c r="W489">
        <v>341.99400000000003</v>
      </c>
    </row>
    <row r="490" spans="1:23" x14ac:dyDescent="0.35">
      <c r="A490" s="1">
        <v>489</v>
      </c>
      <c r="B490" t="s">
        <v>1682</v>
      </c>
      <c r="C490" s="2">
        <v>41799</v>
      </c>
      <c r="D490" s="2">
        <v>41803</v>
      </c>
      <c r="E490" s="2" t="str">
        <f t="shared" si="7"/>
        <v>Jun</v>
      </c>
      <c r="F490" s="5">
        <f>YEAR(Table1[[#This Row],[Order Date]])</f>
        <v>2014</v>
      </c>
      <c r="G490" t="s">
        <v>22</v>
      </c>
      <c r="H490" t="s">
        <v>1683</v>
      </c>
      <c r="I490" t="s">
        <v>1684</v>
      </c>
      <c r="J490" t="s">
        <v>101</v>
      </c>
      <c r="K490" t="s">
        <v>26</v>
      </c>
      <c r="L490" t="s">
        <v>1685</v>
      </c>
      <c r="M490" t="s">
        <v>103</v>
      </c>
      <c r="N490">
        <v>77340</v>
      </c>
      <c r="O490" t="s">
        <v>104</v>
      </c>
      <c r="P490" t="s">
        <v>1686</v>
      </c>
      <c r="Q490" t="s">
        <v>70</v>
      </c>
      <c r="R490" t="s">
        <v>71</v>
      </c>
      <c r="S490" t="s">
        <v>1687</v>
      </c>
      <c r="T490">
        <v>7.992</v>
      </c>
      <c r="U490">
        <v>1</v>
      </c>
      <c r="V490">
        <v>0.2</v>
      </c>
      <c r="W490">
        <v>0.59940000000000004</v>
      </c>
    </row>
    <row r="491" spans="1:23" x14ac:dyDescent="0.35">
      <c r="A491" s="1">
        <v>490</v>
      </c>
      <c r="B491" t="s">
        <v>1682</v>
      </c>
      <c r="C491" s="2">
        <v>41799</v>
      </c>
      <c r="D491" s="2">
        <v>41803</v>
      </c>
      <c r="E491" s="2" t="str">
        <f t="shared" si="7"/>
        <v>Jun</v>
      </c>
      <c r="F491" s="5">
        <f>YEAR(Table1[[#This Row],[Order Date]])</f>
        <v>2014</v>
      </c>
      <c r="G491" t="s">
        <v>22</v>
      </c>
      <c r="H491" t="s">
        <v>1683</v>
      </c>
      <c r="I491" t="s">
        <v>1684</v>
      </c>
      <c r="J491" t="s">
        <v>101</v>
      </c>
      <c r="K491" t="s">
        <v>26</v>
      </c>
      <c r="L491" t="s">
        <v>1685</v>
      </c>
      <c r="M491" t="s">
        <v>103</v>
      </c>
      <c r="N491">
        <v>77340</v>
      </c>
      <c r="O491" t="s">
        <v>104</v>
      </c>
      <c r="P491" t="s">
        <v>1688</v>
      </c>
      <c r="Q491" t="s">
        <v>70</v>
      </c>
      <c r="R491" t="s">
        <v>160</v>
      </c>
      <c r="S491" t="s">
        <v>1689</v>
      </c>
      <c r="T491">
        <v>63.984000000000002</v>
      </c>
      <c r="U491">
        <v>2</v>
      </c>
      <c r="V491">
        <v>0.2</v>
      </c>
      <c r="W491">
        <v>10.397399999999999</v>
      </c>
    </row>
    <row r="492" spans="1:23" x14ac:dyDescent="0.35">
      <c r="A492" s="1">
        <v>491</v>
      </c>
      <c r="B492" t="s">
        <v>1682</v>
      </c>
      <c r="C492" s="2">
        <v>41799</v>
      </c>
      <c r="D492" s="2">
        <v>41803</v>
      </c>
      <c r="E492" s="2" t="str">
        <f t="shared" si="7"/>
        <v>Jun</v>
      </c>
      <c r="F492" s="5">
        <f>YEAR(Table1[[#This Row],[Order Date]])</f>
        <v>2014</v>
      </c>
      <c r="G492" t="s">
        <v>22</v>
      </c>
      <c r="H492" t="s">
        <v>1683</v>
      </c>
      <c r="I492" t="s">
        <v>1684</v>
      </c>
      <c r="J492" t="s">
        <v>101</v>
      </c>
      <c r="K492" t="s">
        <v>26</v>
      </c>
      <c r="L492" t="s">
        <v>1685</v>
      </c>
      <c r="M492" t="s">
        <v>103</v>
      </c>
      <c r="N492">
        <v>77340</v>
      </c>
      <c r="O492" t="s">
        <v>104</v>
      </c>
      <c r="P492" t="s">
        <v>1569</v>
      </c>
      <c r="Q492" t="s">
        <v>45</v>
      </c>
      <c r="R492" t="s">
        <v>67</v>
      </c>
      <c r="S492" t="s">
        <v>1570</v>
      </c>
      <c r="T492">
        <v>70.367999999999995</v>
      </c>
      <c r="U492">
        <v>2</v>
      </c>
      <c r="V492">
        <v>0.2</v>
      </c>
      <c r="W492">
        <v>6.1571999999999996</v>
      </c>
    </row>
    <row r="493" spans="1:23" x14ac:dyDescent="0.35">
      <c r="A493" s="1">
        <v>492</v>
      </c>
      <c r="B493" t="s">
        <v>1690</v>
      </c>
      <c r="C493" s="2">
        <v>41896</v>
      </c>
      <c r="D493" s="2">
        <v>41901</v>
      </c>
      <c r="E493" s="2" t="str">
        <f t="shared" si="7"/>
        <v>Sep</v>
      </c>
      <c r="F493" s="5">
        <f>YEAR(Table1[[#This Row],[Order Date]])</f>
        <v>2014</v>
      </c>
      <c r="G493" t="s">
        <v>49</v>
      </c>
      <c r="H493" t="s">
        <v>1691</v>
      </c>
      <c r="I493" t="s">
        <v>1692</v>
      </c>
      <c r="J493" t="s">
        <v>25</v>
      </c>
      <c r="K493" t="s">
        <v>26</v>
      </c>
      <c r="L493" t="s">
        <v>388</v>
      </c>
      <c r="M493" t="s">
        <v>266</v>
      </c>
      <c r="N493">
        <v>14609</v>
      </c>
      <c r="O493" t="s">
        <v>147</v>
      </c>
      <c r="P493" t="s">
        <v>1693</v>
      </c>
      <c r="Q493" t="s">
        <v>45</v>
      </c>
      <c r="R493" t="s">
        <v>58</v>
      </c>
      <c r="S493" t="s">
        <v>1694</v>
      </c>
      <c r="T493">
        <v>449.15</v>
      </c>
      <c r="U493">
        <v>5</v>
      </c>
      <c r="V493">
        <v>0</v>
      </c>
      <c r="W493">
        <v>8.9830000000000005</v>
      </c>
    </row>
    <row r="494" spans="1:23" x14ac:dyDescent="0.35">
      <c r="A494" s="1">
        <v>493</v>
      </c>
      <c r="B494" t="s">
        <v>1690</v>
      </c>
      <c r="C494" s="2">
        <v>41896</v>
      </c>
      <c r="D494" s="2">
        <v>41901</v>
      </c>
      <c r="E494" s="2" t="str">
        <f t="shared" si="7"/>
        <v>Sep</v>
      </c>
      <c r="F494" s="5">
        <f>YEAR(Table1[[#This Row],[Order Date]])</f>
        <v>2014</v>
      </c>
      <c r="G494" t="s">
        <v>49</v>
      </c>
      <c r="H494" t="s">
        <v>1691</v>
      </c>
      <c r="I494" t="s">
        <v>1692</v>
      </c>
      <c r="J494" t="s">
        <v>25</v>
      </c>
      <c r="K494" t="s">
        <v>26</v>
      </c>
      <c r="L494" t="s">
        <v>388</v>
      </c>
      <c r="M494" t="s">
        <v>266</v>
      </c>
      <c r="N494">
        <v>14609</v>
      </c>
      <c r="O494" t="s">
        <v>147</v>
      </c>
      <c r="P494" t="s">
        <v>1695</v>
      </c>
      <c r="Q494" t="s">
        <v>45</v>
      </c>
      <c r="R494" t="s">
        <v>172</v>
      </c>
      <c r="S494" t="s">
        <v>1696</v>
      </c>
      <c r="T494">
        <v>11.07</v>
      </c>
      <c r="U494">
        <v>3</v>
      </c>
      <c r="V494">
        <v>0</v>
      </c>
      <c r="W494">
        <v>5.0922000000000001</v>
      </c>
    </row>
    <row r="495" spans="1:23" x14ac:dyDescent="0.35">
      <c r="A495" s="1">
        <v>494</v>
      </c>
      <c r="B495" t="s">
        <v>1697</v>
      </c>
      <c r="C495" s="2">
        <v>42499</v>
      </c>
      <c r="D495" s="2">
        <v>42504</v>
      </c>
      <c r="E495" s="2" t="str">
        <f t="shared" si="7"/>
        <v>May</v>
      </c>
      <c r="F495" s="5">
        <f>YEAR(Table1[[#This Row],[Order Date]])</f>
        <v>2016</v>
      </c>
      <c r="G495" t="s">
        <v>49</v>
      </c>
      <c r="H495" t="s">
        <v>1698</v>
      </c>
      <c r="I495" t="s">
        <v>1699</v>
      </c>
      <c r="J495" t="s">
        <v>25</v>
      </c>
      <c r="K495" t="s">
        <v>26</v>
      </c>
      <c r="L495" t="s">
        <v>94</v>
      </c>
      <c r="M495" t="s">
        <v>95</v>
      </c>
      <c r="N495">
        <v>98115</v>
      </c>
      <c r="O495" t="s">
        <v>43</v>
      </c>
      <c r="P495" t="s">
        <v>1700</v>
      </c>
      <c r="Q495" t="s">
        <v>70</v>
      </c>
      <c r="R495" t="s">
        <v>160</v>
      </c>
      <c r="S495" t="s">
        <v>1701</v>
      </c>
      <c r="T495">
        <v>93.98</v>
      </c>
      <c r="U495">
        <v>2</v>
      </c>
      <c r="V495">
        <v>0</v>
      </c>
      <c r="W495">
        <v>13.1572</v>
      </c>
    </row>
    <row r="496" spans="1:23" x14ac:dyDescent="0.35">
      <c r="A496" s="1">
        <v>495</v>
      </c>
      <c r="B496" t="s">
        <v>1702</v>
      </c>
      <c r="C496" s="2">
        <v>42447</v>
      </c>
      <c r="D496" s="2">
        <v>42450</v>
      </c>
      <c r="E496" s="2" t="str">
        <f t="shared" si="7"/>
        <v>Mar</v>
      </c>
      <c r="F496" s="5">
        <f>YEAR(Table1[[#This Row],[Order Date]])</f>
        <v>2016</v>
      </c>
      <c r="G496" t="s">
        <v>22</v>
      </c>
      <c r="H496" t="s">
        <v>1703</v>
      </c>
      <c r="I496" t="s">
        <v>1704</v>
      </c>
      <c r="J496" t="s">
        <v>25</v>
      </c>
      <c r="K496" t="s">
        <v>26</v>
      </c>
      <c r="L496" t="s">
        <v>333</v>
      </c>
      <c r="M496" t="s">
        <v>334</v>
      </c>
      <c r="N496">
        <v>38109</v>
      </c>
      <c r="O496" t="s">
        <v>29</v>
      </c>
      <c r="P496" t="s">
        <v>1705</v>
      </c>
      <c r="Q496" t="s">
        <v>31</v>
      </c>
      <c r="R496" t="s">
        <v>55</v>
      </c>
      <c r="S496" t="s">
        <v>1706</v>
      </c>
      <c r="T496">
        <v>189.88200000000001</v>
      </c>
      <c r="U496">
        <v>3</v>
      </c>
      <c r="V496">
        <v>0.4</v>
      </c>
      <c r="W496">
        <v>-94.941000000000003</v>
      </c>
    </row>
    <row r="497" spans="1:23" x14ac:dyDescent="0.35">
      <c r="A497" s="1">
        <v>496</v>
      </c>
      <c r="B497" t="s">
        <v>1707</v>
      </c>
      <c r="C497" s="2">
        <v>42365</v>
      </c>
      <c r="D497" s="2">
        <v>42369</v>
      </c>
      <c r="E497" s="2" t="str">
        <f t="shared" si="7"/>
        <v>Dec</v>
      </c>
      <c r="F497" s="5">
        <f>YEAR(Table1[[#This Row],[Order Date]])</f>
        <v>2015</v>
      </c>
      <c r="G497" t="s">
        <v>49</v>
      </c>
      <c r="H497" t="s">
        <v>1708</v>
      </c>
      <c r="I497" t="s">
        <v>1709</v>
      </c>
      <c r="J497" t="s">
        <v>25</v>
      </c>
      <c r="K497" t="s">
        <v>26</v>
      </c>
      <c r="L497" t="s">
        <v>1710</v>
      </c>
      <c r="M497" t="s">
        <v>1711</v>
      </c>
      <c r="N497">
        <v>72701</v>
      </c>
      <c r="O497" t="s">
        <v>29</v>
      </c>
      <c r="P497" t="s">
        <v>1712</v>
      </c>
      <c r="Q497" t="s">
        <v>45</v>
      </c>
      <c r="R497" t="s">
        <v>172</v>
      </c>
      <c r="S497" t="s">
        <v>1713</v>
      </c>
      <c r="T497">
        <v>105.42</v>
      </c>
      <c r="U497">
        <v>2</v>
      </c>
      <c r="V497">
        <v>0</v>
      </c>
      <c r="W497">
        <v>51.655799999999999</v>
      </c>
    </row>
    <row r="498" spans="1:23" x14ac:dyDescent="0.35">
      <c r="A498" s="1">
        <v>497</v>
      </c>
      <c r="B498" t="s">
        <v>1714</v>
      </c>
      <c r="C498" s="2">
        <v>42576</v>
      </c>
      <c r="D498" s="2">
        <v>42582</v>
      </c>
      <c r="E498" s="2" t="str">
        <f t="shared" si="7"/>
        <v>Jul</v>
      </c>
      <c r="F498" s="5">
        <f>YEAR(Table1[[#This Row],[Order Date]])</f>
        <v>2016</v>
      </c>
      <c r="G498" t="s">
        <v>49</v>
      </c>
      <c r="H498" t="s">
        <v>1587</v>
      </c>
      <c r="I498" t="s">
        <v>1588</v>
      </c>
      <c r="J498" t="s">
        <v>25</v>
      </c>
      <c r="K498" t="s">
        <v>26</v>
      </c>
      <c r="L498" t="s">
        <v>1715</v>
      </c>
      <c r="M498" t="s">
        <v>42</v>
      </c>
      <c r="N498">
        <v>92627</v>
      </c>
      <c r="O498" t="s">
        <v>43</v>
      </c>
      <c r="P498" t="s">
        <v>1716</v>
      </c>
      <c r="Q498" t="s">
        <v>45</v>
      </c>
      <c r="R498" t="s">
        <v>74</v>
      </c>
      <c r="S498" t="s">
        <v>1717</v>
      </c>
      <c r="T498">
        <v>119.616</v>
      </c>
      <c r="U498">
        <v>8</v>
      </c>
      <c r="V498">
        <v>0.2</v>
      </c>
      <c r="W498">
        <v>40.370399999999997</v>
      </c>
    </row>
    <row r="499" spans="1:23" x14ac:dyDescent="0.35">
      <c r="A499" s="1">
        <v>498</v>
      </c>
      <c r="B499" t="s">
        <v>1714</v>
      </c>
      <c r="C499" s="2">
        <v>42576</v>
      </c>
      <c r="D499" s="2">
        <v>42582</v>
      </c>
      <c r="E499" s="2" t="str">
        <f t="shared" si="7"/>
        <v>Jul</v>
      </c>
      <c r="F499" s="5">
        <f>YEAR(Table1[[#This Row],[Order Date]])</f>
        <v>2016</v>
      </c>
      <c r="G499" t="s">
        <v>49</v>
      </c>
      <c r="H499" t="s">
        <v>1587</v>
      </c>
      <c r="I499" t="s">
        <v>1588</v>
      </c>
      <c r="J499" t="s">
        <v>25</v>
      </c>
      <c r="K499" t="s">
        <v>26</v>
      </c>
      <c r="L499" t="s">
        <v>1715</v>
      </c>
      <c r="M499" t="s">
        <v>42</v>
      </c>
      <c r="N499">
        <v>92627</v>
      </c>
      <c r="O499" t="s">
        <v>43</v>
      </c>
      <c r="P499" t="s">
        <v>1718</v>
      </c>
      <c r="Q499" t="s">
        <v>31</v>
      </c>
      <c r="R499" t="s">
        <v>64</v>
      </c>
      <c r="S499" t="s">
        <v>1719</v>
      </c>
      <c r="T499">
        <v>255.76</v>
      </c>
      <c r="U499">
        <v>4</v>
      </c>
      <c r="V499">
        <v>0</v>
      </c>
      <c r="W499">
        <v>81.843199999999996</v>
      </c>
    </row>
    <row r="500" spans="1:23" x14ac:dyDescent="0.35">
      <c r="A500" s="1">
        <v>499</v>
      </c>
      <c r="B500" t="s">
        <v>1714</v>
      </c>
      <c r="C500" s="2">
        <v>42576</v>
      </c>
      <c r="D500" s="2">
        <v>42582</v>
      </c>
      <c r="E500" s="2" t="str">
        <f t="shared" si="7"/>
        <v>Jul</v>
      </c>
      <c r="F500" s="5">
        <f>YEAR(Table1[[#This Row],[Order Date]])</f>
        <v>2016</v>
      </c>
      <c r="G500" t="s">
        <v>49</v>
      </c>
      <c r="H500" t="s">
        <v>1587</v>
      </c>
      <c r="I500" t="s">
        <v>1588</v>
      </c>
      <c r="J500" t="s">
        <v>25</v>
      </c>
      <c r="K500" t="s">
        <v>26</v>
      </c>
      <c r="L500" t="s">
        <v>1715</v>
      </c>
      <c r="M500" t="s">
        <v>42</v>
      </c>
      <c r="N500">
        <v>92627</v>
      </c>
      <c r="O500" t="s">
        <v>43</v>
      </c>
      <c r="P500" t="s">
        <v>1166</v>
      </c>
      <c r="Q500" t="s">
        <v>31</v>
      </c>
      <c r="R500" t="s">
        <v>35</v>
      </c>
      <c r="S500" t="s">
        <v>1167</v>
      </c>
      <c r="T500">
        <v>241.56800000000001</v>
      </c>
      <c r="U500">
        <v>2</v>
      </c>
      <c r="V500">
        <v>0.2</v>
      </c>
      <c r="W500">
        <v>18.117599999999999</v>
      </c>
    </row>
    <row r="501" spans="1:23" x14ac:dyDescent="0.35">
      <c r="A501" s="1">
        <v>500</v>
      </c>
      <c r="B501" t="s">
        <v>1714</v>
      </c>
      <c r="C501" s="2">
        <v>42576</v>
      </c>
      <c r="D501" s="2">
        <v>42582</v>
      </c>
      <c r="E501" s="2" t="str">
        <f t="shared" si="7"/>
        <v>Jul</v>
      </c>
      <c r="F501" s="5">
        <f>YEAR(Table1[[#This Row],[Order Date]])</f>
        <v>2016</v>
      </c>
      <c r="G501" t="s">
        <v>49</v>
      </c>
      <c r="H501" t="s">
        <v>1587</v>
      </c>
      <c r="I501" t="s">
        <v>1588</v>
      </c>
      <c r="J501" t="s">
        <v>25</v>
      </c>
      <c r="K501" t="s">
        <v>26</v>
      </c>
      <c r="L501" t="s">
        <v>1715</v>
      </c>
      <c r="M501" t="s">
        <v>42</v>
      </c>
      <c r="N501">
        <v>92627</v>
      </c>
      <c r="O501" t="s">
        <v>43</v>
      </c>
      <c r="P501" t="s">
        <v>1720</v>
      </c>
      <c r="Q501" t="s">
        <v>31</v>
      </c>
      <c r="R501" t="s">
        <v>64</v>
      </c>
      <c r="S501" t="s">
        <v>1721</v>
      </c>
      <c r="T501">
        <v>69.3</v>
      </c>
      <c r="U501">
        <v>9</v>
      </c>
      <c r="V501">
        <v>0</v>
      </c>
      <c r="W501">
        <v>22.869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D16913-9E3D-4AEA-8ABC-34F09EDB5805}">
  <sheetPr codeName="Sheet2"/>
  <dimension ref="A1:AG501"/>
  <sheetViews>
    <sheetView showGridLines="0" topLeftCell="Q1" zoomScale="70" zoomScaleNormal="70" workbookViewId="0">
      <selection activeCell="X36" sqref="X36"/>
    </sheetView>
  </sheetViews>
  <sheetFormatPr defaultRowHeight="14.5" x14ac:dyDescent="0.35"/>
  <cols>
    <col min="1" max="1" width="11.81640625" bestFit="1" customWidth="1"/>
    <col min="2" max="2" width="4.08984375" customWidth="1"/>
    <col min="3" max="3" width="13.08984375" bestFit="1" customWidth="1"/>
    <col min="4" max="4" width="15.90625" bestFit="1" customWidth="1"/>
    <col min="5" max="5" width="13.1796875" bestFit="1" customWidth="1"/>
    <col min="6" max="6" width="10.26953125" bestFit="1" customWidth="1"/>
    <col min="7" max="7" width="10.7265625" bestFit="1" customWidth="1"/>
    <col min="8" max="9" width="11.81640625" customWidth="1"/>
    <col min="10" max="10" width="4.08984375" customWidth="1"/>
    <col min="11" max="11" width="13.08984375" customWidth="1"/>
    <col min="12" max="12" width="11.26953125" bestFit="1" customWidth="1"/>
    <col min="13" max="13" width="3" customWidth="1"/>
    <col min="15" max="15" width="11.08984375" bestFit="1" customWidth="1"/>
    <col min="16" max="16" width="2.7265625" customWidth="1"/>
    <col min="17" max="17" width="16.36328125" customWidth="1"/>
    <col min="18" max="18" width="10.81640625" style="5" customWidth="1"/>
    <col min="19" max="19" width="4.453125" customWidth="1"/>
    <col min="20" max="20" width="12.36328125" bestFit="1" customWidth="1"/>
    <col min="21" max="21" width="22.36328125" bestFit="1" customWidth="1"/>
    <col min="22" max="22" width="2.90625" customWidth="1"/>
    <col min="23" max="23" width="13.1796875" bestFit="1" customWidth="1"/>
    <col min="24" max="24" width="11.26953125" bestFit="1" customWidth="1"/>
    <col min="25" max="25" width="3.54296875" customWidth="1"/>
    <col min="27" max="27" width="11.08984375" bestFit="1" customWidth="1"/>
    <col min="28" max="28" width="2" customWidth="1"/>
    <col min="29" max="29" width="15.08984375" bestFit="1" customWidth="1"/>
    <col min="30" max="30" width="11.81640625" bestFit="1" customWidth="1"/>
    <col min="31" max="31" width="2" customWidth="1"/>
    <col min="32" max="32" width="10.7265625" bestFit="1" customWidth="1"/>
    <col min="33" max="33" width="11.26953125" bestFit="1" customWidth="1"/>
  </cols>
  <sheetData>
    <row r="1" spans="1:33" ht="15.5" x14ac:dyDescent="0.35">
      <c r="A1" s="11" t="s">
        <v>1728</v>
      </c>
      <c r="Q1" s="4" t="s">
        <v>6</v>
      </c>
      <c r="R1" s="14" t="s">
        <v>1724</v>
      </c>
    </row>
    <row r="2" spans="1:33" ht="15.5" x14ac:dyDescent="0.35">
      <c r="A2" t="s">
        <v>1722</v>
      </c>
      <c r="C2" s="11" t="s">
        <v>1725</v>
      </c>
      <c r="K2" s="11" t="s">
        <v>1729</v>
      </c>
      <c r="Q2" t="s">
        <v>24</v>
      </c>
      <c r="R2" s="5">
        <f>YEAR(Table1[[#This Row],[Order Date]])</f>
        <v>2016</v>
      </c>
    </row>
    <row r="3" spans="1:33" ht="15.5" x14ac:dyDescent="0.35">
      <c r="A3" s="9">
        <v>129426.31609999998</v>
      </c>
      <c r="Q3" t="s">
        <v>39</v>
      </c>
      <c r="R3" s="5">
        <f>YEAR(Table1[[#This Row],[Order Date]])</f>
        <v>2016</v>
      </c>
      <c r="T3" s="13" t="s">
        <v>1731</v>
      </c>
      <c r="AC3" s="11" t="s">
        <v>1749</v>
      </c>
      <c r="AF3" s="11" t="s">
        <v>1734</v>
      </c>
    </row>
    <row r="4" spans="1:33" ht="15.5" x14ac:dyDescent="0.35">
      <c r="C4" s="3" t="s">
        <v>1723</v>
      </c>
      <c r="D4" s="3" t="s">
        <v>1750</v>
      </c>
      <c r="K4" s="3" t="s">
        <v>1726</v>
      </c>
      <c r="L4" t="s">
        <v>1722</v>
      </c>
      <c r="N4" s="7" t="s">
        <v>14</v>
      </c>
      <c r="O4" s="7" t="s">
        <v>17</v>
      </c>
      <c r="Q4" t="s">
        <v>51</v>
      </c>
      <c r="R4" s="5">
        <f>YEAR(Table1[[#This Row],[Order Date]])</f>
        <v>2016</v>
      </c>
      <c r="T4" s="3" t="s">
        <v>1726</v>
      </c>
      <c r="U4" t="s">
        <v>1732</v>
      </c>
      <c r="W4" s="12" t="s">
        <v>1733</v>
      </c>
      <c r="Z4" s="4" t="s">
        <v>10</v>
      </c>
      <c r="AA4" s="4" t="s">
        <v>17</v>
      </c>
      <c r="AC4" s="3" t="s">
        <v>1726</v>
      </c>
      <c r="AD4" t="s">
        <v>1723</v>
      </c>
      <c r="AF4" s="3" t="s">
        <v>1736</v>
      </c>
      <c r="AG4" t="s">
        <v>1722</v>
      </c>
    </row>
    <row r="5" spans="1:33" ht="15.5" x14ac:dyDescent="0.35">
      <c r="A5" s="12" t="s">
        <v>1730</v>
      </c>
      <c r="C5" s="3" t="s">
        <v>1726</v>
      </c>
      <c r="D5" t="s">
        <v>31</v>
      </c>
      <c r="E5" t="s">
        <v>45</v>
      </c>
      <c r="F5" t="s">
        <v>70</v>
      </c>
      <c r="G5" t="s">
        <v>1727</v>
      </c>
      <c r="H5" s="9"/>
      <c r="I5" s="9"/>
      <c r="K5" s="8" t="s">
        <v>683</v>
      </c>
      <c r="L5" s="9">
        <v>20960.169000000002</v>
      </c>
      <c r="N5" t="str">
        <f>K5</f>
        <v>Machines</v>
      </c>
      <c r="O5" s="10">
        <f>GETPIVOTDATA("Sales",$K$4,"Sub-Category",N5)</f>
        <v>20960.169000000002</v>
      </c>
      <c r="Q5" t="s">
        <v>62</v>
      </c>
      <c r="R5" s="5">
        <f>YEAR(Table1[[#This Row],[Order Date]])</f>
        <v>2015</v>
      </c>
      <c r="T5" s="6">
        <v>2014</v>
      </c>
      <c r="U5">
        <v>48</v>
      </c>
      <c r="W5" s="3" t="s">
        <v>1726</v>
      </c>
      <c r="X5" t="s">
        <v>1722</v>
      </c>
      <c r="Z5" t="str">
        <f>W6</f>
        <v>Alabama</v>
      </c>
      <c r="AA5" s="10">
        <f>GETPIVOTDATA("Sales",$W$5,"State",Z5)</f>
        <v>224.9</v>
      </c>
      <c r="AC5" s="8" t="s">
        <v>1379</v>
      </c>
      <c r="AD5" s="9">
        <v>729.70650000000001</v>
      </c>
      <c r="AF5" s="8" t="s">
        <v>1737</v>
      </c>
      <c r="AG5" s="16">
        <v>2488.3240000000001</v>
      </c>
    </row>
    <row r="6" spans="1:33" x14ac:dyDescent="0.35">
      <c r="A6" t="s">
        <v>1723</v>
      </c>
      <c r="C6" s="6">
        <v>2014</v>
      </c>
      <c r="D6" s="9">
        <v>253.16860000000003</v>
      </c>
      <c r="E6" s="9">
        <v>84.080299999999937</v>
      </c>
      <c r="F6" s="9">
        <v>2088.7966999999999</v>
      </c>
      <c r="G6" s="9">
        <v>2426.0455999999999</v>
      </c>
      <c r="H6" s="9"/>
      <c r="I6" s="9"/>
      <c r="K6" s="8" t="s">
        <v>35</v>
      </c>
      <c r="L6" s="9">
        <v>16563.644999999997</v>
      </c>
      <c r="N6" t="str">
        <f t="shared" ref="N6:N21" si="0">K6</f>
        <v>Chairs</v>
      </c>
      <c r="O6" s="10">
        <f t="shared" ref="O6:O21" si="1">GETPIVOTDATA("Sales",$K$4,"Sub-Category",N6)</f>
        <v>16563.644999999997</v>
      </c>
      <c r="Q6" t="s">
        <v>85</v>
      </c>
      <c r="R6" s="5">
        <f>YEAR(Table1[[#This Row],[Order Date]])</f>
        <v>2015</v>
      </c>
      <c r="T6" s="6">
        <v>2015</v>
      </c>
      <c r="U6">
        <v>62</v>
      </c>
      <c r="W6" s="8" t="s">
        <v>357</v>
      </c>
      <c r="X6" s="9">
        <v>224.9</v>
      </c>
      <c r="Z6" t="str">
        <f t="shared" ref="Z6:Z41" si="2">W7</f>
        <v>Arizona</v>
      </c>
      <c r="AA6" s="10">
        <f t="shared" ref="AA6:AA41" si="3">GETPIVOTDATA("Sales",$W$5,"State",Z6)</f>
        <v>4997.1749999999993</v>
      </c>
      <c r="AC6" s="8" t="s">
        <v>611</v>
      </c>
      <c r="AD6" s="9">
        <v>775.98080000000004</v>
      </c>
      <c r="AF6" s="8" t="s">
        <v>1738</v>
      </c>
      <c r="AG6" s="16">
        <v>861.36200000000008</v>
      </c>
    </row>
    <row r="7" spans="1:33" x14ac:dyDescent="0.35">
      <c r="A7" s="9">
        <v>5363.5110000000022</v>
      </c>
      <c r="C7" s="6">
        <v>2015</v>
      </c>
      <c r="D7" s="9">
        <v>-2096.7102000000004</v>
      </c>
      <c r="E7" s="9">
        <v>299.34299999999996</v>
      </c>
      <c r="F7" s="9">
        <v>-235.27609999999976</v>
      </c>
      <c r="G7" s="9">
        <v>-2032.6433000000004</v>
      </c>
      <c r="H7" s="9"/>
      <c r="I7" s="9"/>
      <c r="K7" s="8" t="s">
        <v>71</v>
      </c>
      <c r="L7" s="9">
        <v>15767.100000000004</v>
      </c>
      <c r="N7" t="str">
        <f t="shared" si="0"/>
        <v>Phones</v>
      </c>
      <c r="O7" s="10">
        <f t="shared" si="1"/>
        <v>15767.100000000004</v>
      </c>
      <c r="Q7" t="s">
        <v>93</v>
      </c>
      <c r="R7" s="5">
        <f>YEAR(Table1[[#This Row],[Order Date]])</f>
        <v>2014</v>
      </c>
      <c r="T7" s="6">
        <v>2016</v>
      </c>
      <c r="U7">
        <v>70</v>
      </c>
      <c r="W7" s="8" t="s">
        <v>309</v>
      </c>
      <c r="X7" s="9">
        <v>4997.1749999999993</v>
      </c>
      <c r="Z7" t="str">
        <f t="shared" si="2"/>
        <v>Arkansas</v>
      </c>
      <c r="AA7" s="10">
        <f t="shared" si="3"/>
        <v>105.42</v>
      </c>
      <c r="AC7" s="8" t="s">
        <v>933</v>
      </c>
      <c r="AD7" s="9">
        <v>1154.6735000000001</v>
      </c>
      <c r="AF7" s="8" t="s">
        <v>1739</v>
      </c>
      <c r="AG7" s="16">
        <v>2774.3328000000001</v>
      </c>
    </row>
    <row r="8" spans="1:33" x14ac:dyDescent="0.35">
      <c r="C8" s="6">
        <v>2016</v>
      </c>
      <c r="D8" s="9">
        <v>-731.05219999999997</v>
      </c>
      <c r="E8" s="9">
        <v>2895.2823999999973</v>
      </c>
      <c r="F8" s="9">
        <v>1777.9453000000003</v>
      </c>
      <c r="G8" s="9">
        <v>3942.1754999999976</v>
      </c>
      <c r="H8" s="9"/>
      <c r="I8" s="9"/>
      <c r="K8" s="8" t="s">
        <v>55</v>
      </c>
      <c r="L8" s="9">
        <v>13557.5695</v>
      </c>
      <c r="N8" t="str">
        <f t="shared" si="0"/>
        <v>Tables</v>
      </c>
      <c r="O8" s="10">
        <f t="shared" si="1"/>
        <v>13557.5695</v>
      </c>
      <c r="Q8" t="s">
        <v>100</v>
      </c>
      <c r="R8" s="5">
        <f>YEAR(Table1[[#This Row],[Order Date]])</f>
        <v>2014</v>
      </c>
      <c r="T8" s="6">
        <v>2017</v>
      </c>
      <c r="U8">
        <v>42</v>
      </c>
      <c r="W8" s="8" t="s">
        <v>1711</v>
      </c>
      <c r="X8" s="9">
        <v>105.42</v>
      </c>
      <c r="Z8" t="str">
        <f t="shared" si="2"/>
        <v>California</v>
      </c>
      <c r="AA8" s="10">
        <f t="shared" si="3"/>
        <v>23672.065999999995</v>
      </c>
      <c r="AC8" s="8" t="s">
        <v>1252</v>
      </c>
      <c r="AD8" s="9">
        <v>1453.4346</v>
      </c>
      <c r="AF8" s="8" t="s">
        <v>1740</v>
      </c>
      <c r="AG8" s="16">
        <v>8681.1585000000014</v>
      </c>
    </row>
    <row r="9" spans="1:33" x14ac:dyDescent="0.35">
      <c r="C9" s="6">
        <v>2017</v>
      </c>
      <c r="D9" s="9">
        <v>-543.99249999999995</v>
      </c>
      <c r="E9" s="9">
        <v>952.88409999999976</v>
      </c>
      <c r="F9" s="9">
        <v>619.04160000000002</v>
      </c>
      <c r="G9" s="9">
        <v>1027.9331999999999</v>
      </c>
      <c r="H9" s="9"/>
      <c r="I9" s="9"/>
      <c r="K9" s="8" t="s">
        <v>32</v>
      </c>
      <c r="L9" s="9">
        <v>12050.579599999997</v>
      </c>
      <c r="N9" t="str">
        <f t="shared" si="0"/>
        <v>Bookcases</v>
      </c>
      <c r="O9" s="10">
        <f t="shared" si="1"/>
        <v>12050.579599999997</v>
      </c>
      <c r="Q9" t="s">
        <v>111</v>
      </c>
      <c r="R9" s="5">
        <f>YEAR(Table1[[#This Row],[Order Date]])</f>
        <v>2014</v>
      </c>
      <c r="T9" s="6" t="s">
        <v>1727</v>
      </c>
      <c r="U9">
        <v>222</v>
      </c>
      <c r="W9" s="8" t="s">
        <v>42</v>
      </c>
      <c r="X9" s="9">
        <v>23672.065999999995</v>
      </c>
      <c r="Z9" t="str">
        <f t="shared" si="2"/>
        <v>Colorado</v>
      </c>
      <c r="AA9" s="10">
        <f t="shared" si="3"/>
        <v>2154.9119999999998</v>
      </c>
      <c r="AC9" s="8" t="s">
        <v>1165</v>
      </c>
      <c r="AD9" s="9">
        <v>2242.8403999999996</v>
      </c>
      <c r="AF9" s="8" t="s">
        <v>1741</v>
      </c>
      <c r="AG9" s="16">
        <v>814.97399999999993</v>
      </c>
    </row>
    <row r="10" spans="1:33" x14ac:dyDescent="0.35">
      <c r="C10" s="6" t="s">
        <v>1727</v>
      </c>
      <c r="D10" s="9">
        <v>-3118.5863000000004</v>
      </c>
      <c r="E10" s="9">
        <v>4231.589799999997</v>
      </c>
      <c r="F10" s="9">
        <v>4250.5074999999997</v>
      </c>
      <c r="G10" s="9">
        <v>5363.5109999999968</v>
      </c>
      <c r="K10" s="8" t="s">
        <v>160</v>
      </c>
      <c r="L10" s="9">
        <v>11354.331999999999</v>
      </c>
      <c r="N10" t="str">
        <f t="shared" si="0"/>
        <v>Accessories</v>
      </c>
      <c r="O10" s="10">
        <f t="shared" si="1"/>
        <v>11354.331999999999</v>
      </c>
      <c r="Q10" t="s">
        <v>118</v>
      </c>
      <c r="R10" s="5">
        <f>YEAR(Table1[[#This Row],[Order Date]])</f>
        <v>2014</v>
      </c>
      <c r="W10" s="8" t="s">
        <v>456</v>
      </c>
      <c r="X10" s="9">
        <v>2154.9119999999998</v>
      </c>
      <c r="Z10" t="str">
        <f t="shared" si="2"/>
        <v>Connecticut</v>
      </c>
      <c r="AA10" s="10">
        <f t="shared" si="3"/>
        <v>1186.43</v>
      </c>
      <c r="AC10" s="8" t="s">
        <v>1727</v>
      </c>
      <c r="AD10" s="9">
        <v>6356.6358</v>
      </c>
      <c r="AF10" s="8" t="s">
        <v>1742</v>
      </c>
      <c r="AG10" s="16">
        <v>14645.988999999998</v>
      </c>
    </row>
    <row r="11" spans="1:33" x14ac:dyDescent="0.35">
      <c r="A11" s="10">
        <f>GETPIVOTDATA("Sales",$A$2)</f>
        <v>129426.31609999998</v>
      </c>
      <c r="K11" s="8" t="s">
        <v>58</v>
      </c>
      <c r="L11" s="9">
        <v>10486.334000000001</v>
      </c>
      <c r="N11" t="str">
        <f t="shared" si="0"/>
        <v>Storage</v>
      </c>
      <c r="O11" s="10">
        <f t="shared" si="1"/>
        <v>10486.334000000001</v>
      </c>
      <c r="Q11" t="s">
        <v>125</v>
      </c>
      <c r="R11" s="5">
        <f>YEAR(Table1[[#This Row],[Order Date]])</f>
        <v>2014</v>
      </c>
      <c r="W11" s="8" t="s">
        <v>748</v>
      </c>
      <c r="X11" s="9">
        <v>1186.43</v>
      </c>
      <c r="Z11" t="str">
        <f t="shared" si="2"/>
        <v>Delaware</v>
      </c>
      <c r="AA11" s="10">
        <f t="shared" si="3"/>
        <v>554.29999999999995</v>
      </c>
      <c r="AF11" s="8" t="s">
        <v>1743</v>
      </c>
      <c r="AG11" s="16">
        <v>3671.0880000000006</v>
      </c>
    </row>
    <row r="12" spans="1:33" x14ac:dyDescent="0.35">
      <c r="A12" s="10">
        <f>GETPIVOTDATA("Profit",$A$6)</f>
        <v>5363.5110000000022</v>
      </c>
      <c r="K12" s="8" t="s">
        <v>74</v>
      </c>
      <c r="L12" s="9">
        <v>7848.5929999999989</v>
      </c>
      <c r="N12" t="str">
        <f t="shared" si="0"/>
        <v>Binders</v>
      </c>
      <c r="O12" s="10">
        <f t="shared" si="1"/>
        <v>7848.5929999999989</v>
      </c>
      <c r="Q12" t="s">
        <v>135</v>
      </c>
      <c r="R12" s="5">
        <f>YEAR(Table1[[#This Row],[Order Date]])</f>
        <v>2014</v>
      </c>
      <c r="W12" s="8" t="s">
        <v>244</v>
      </c>
      <c r="X12" s="9">
        <v>554.29999999999995</v>
      </c>
      <c r="Z12" t="str">
        <f t="shared" si="2"/>
        <v>Florida</v>
      </c>
      <c r="AA12" s="10">
        <f t="shared" si="3"/>
        <v>5137.0274999999992</v>
      </c>
      <c r="AF12" s="8" t="s">
        <v>1744</v>
      </c>
      <c r="AG12" s="16">
        <v>5941.8580000000002</v>
      </c>
    </row>
    <row r="13" spans="1:33" x14ac:dyDescent="0.35">
      <c r="K13" s="8" t="s">
        <v>77</v>
      </c>
      <c r="L13" s="9">
        <v>4498.0119999999997</v>
      </c>
      <c r="N13" t="str">
        <f t="shared" si="0"/>
        <v>Appliances</v>
      </c>
      <c r="O13" s="10">
        <f t="shared" si="1"/>
        <v>4498.0119999999997</v>
      </c>
      <c r="Q13" t="s">
        <v>144</v>
      </c>
      <c r="R13" s="5">
        <f>YEAR(Table1[[#This Row],[Order Date]])</f>
        <v>2014</v>
      </c>
      <c r="W13" s="8" t="s">
        <v>53</v>
      </c>
      <c r="X13" s="9">
        <v>5137.0274999999992</v>
      </c>
      <c r="Z13" t="str">
        <f t="shared" si="2"/>
        <v>Georgia</v>
      </c>
      <c r="AA13" s="10">
        <f t="shared" si="3"/>
        <v>668.54000000000008</v>
      </c>
      <c r="AF13" s="8" t="s">
        <v>1745</v>
      </c>
      <c r="AG13" s="16">
        <v>41174.699599999993</v>
      </c>
    </row>
    <row r="14" spans="1:33" x14ac:dyDescent="0.35">
      <c r="K14" s="8" t="s">
        <v>1218</v>
      </c>
      <c r="L14" s="9">
        <v>3959.9300000000003</v>
      </c>
      <c r="N14" t="str">
        <f t="shared" si="0"/>
        <v>Copiers</v>
      </c>
      <c r="O14" s="10">
        <f t="shared" si="1"/>
        <v>3959.9300000000003</v>
      </c>
      <c r="Q14" t="s">
        <v>152</v>
      </c>
      <c r="R14" s="5">
        <f>YEAR(Table1[[#This Row],[Order Date]])</f>
        <v>2017</v>
      </c>
      <c r="W14" s="8" t="s">
        <v>1274</v>
      </c>
      <c r="X14" s="9">
        <v>668.54000000000008</v>
      </c>
      <c r="Z14" t="str">
        <f t="shared" si="2"/>
        <v>Illinois</v>
      </c>
      <c r="AA14" s="10">
        <f t="shared" si="3"/>
        <v>9423.482</v>
      </c>
      <c r="AF14" s="8" t="s">
        <v>1746</v>
      </c>
      <c r="AG14" s="16">
        <v>10674.363499999999</v>
      </c>
    </row>
    <row r="15" spans="1:33" x14ac:dyDescent="0.35">
      <c r="K15" s="8" t="s">
        <v>64</v>
      </c>
      <c r="L15" s="9">
        <v>3745.116</v>
      </c>
      <c r="N15" t="str">
        <f t="shared" si="0"/>
        <v>Furnishings</v>
      </c>
      <c r="O15" s="10">
        <f t="shared" si="1"/>
        <v>3745.116</v>
      </c>
      <c r="Q15" t="s">
        <v>156</v>
      </c>
      <c r="R15" s="5">
        <f>YEAR(Table1[[#This Row],[Order Date]])</f>
        <v>2016</v>
      </c>
      <c r="W15" s="8" t="s">
        <v>210</v>
      </c>
      <c r="X15" s="9">
        <v>9423.482</v>
      </c>
      <c r="Z15" t="str">
        <f t="shared" si="2"/>
        <v>Indiana</v>
      </c>
      <c r="AA15" s="10">
        <f t="shared" si="3"/>
        <v>212.46</v>
      </c>
      <c r="AF15" s="8" t="s">
        <v>1747</v>
      </c>
      <c r="AG15" s="16">
        <v>15764.404500000004</v>
      </c>
    </row>
    <row r="16" spans="1:33" x14ac:dyDescent="0.35">
      <c r="K16" s="8" t="s">
        <v>89</v>
      </c>
      <c r="L16" s="9">
        <v>2867.0619999999999</v>
      </c>
      <c r="N16" t="str">
        <f t="shared" si="0"/>
        <v>Paper</v>
      </c>
      <c r="O16" s="10">
        <f t="shared" si="1"/>
        <v>2867.0619999999999</v>
      </c>
      <c r="Q16" t="s">
        <v>164</v>
      </c>
      <c r="R16" s="5">
        <f>YEAR(Table1[[#This Row],[Order Date]])</f>
        <v>2015</v>
      </c>
      <c r="W16" s="8" t="s">
        <v>253</v>
      </c>
      <c r="X16" s="9">
        <v>212.46</v>
      </c>
      <c r="Z16" t="str">
        <f t="shared" si="2"/>
        <v>Iowa</v>
      </c>
      <c r="AA16" s="10">
        <f t="shared" si="3"/>
        <v>103.19999999999999</v>
      </c>
      <c r="AF16" s="8" t="s">
        <v>1748</v>
      </c>
      <c r="AG16" s="16">
        <v>21933.762200000001</v>
      </c>
    </row>
    <row r="17" spans="11:33" x14ac:dyDescent="0.35">
      <c r="K17" s="8" t="s">
        <v>67</v>
      </c>
      <c r="L17" s="9">
        <v>2610.3480000000004</v>
      </c>
      <c r="N17" t="str">
        <f t="shared" si="0"/>
        <v>Art</v>
      </c>
      <c r="O17" s="10">
        <f t="shared" si="1"/>
        <v>2610.3480000000004</v>
      </c>
      <c r="Q17" t="s">
        <v>182</v>
      </c>
      <c r="R17" s="5">
        <f>YEAR(Table1[[#This Row],[Order Date]])</f>
        <v>2015</v>
      </c>
      <c r="W17" s="8" t="s">
        <v>488</v>
      </c>
      <c r="X17" s="9">
        <v>103.19999999999999</v>
      </c>
      <c r="Z17" t="str">
        <f t="shared" si="2"/>
        <v>Kentucky</v>
      </c>
      <c r="AA17" s="10">
        <f t="shared" si="3"/>
        <v>999.68000000000006</v>
      </c>
      <c r="AF17" s="8" t="s">
        <v>1727</v>
      </c>
      <c r="AG17" s="16">
        <v>129426.3161</v>
      </c>
    </row>
    <row r="18" spans="11:33" x14ac:dyDescent="0.35">
      <c r="K18" s="8" t="s">
        <v>578</v>
      </c>
      <c r="L18" s="9">
        <v>1306.0959999999998</v>
      </c>
      <c r="N18" t="str">
        <f t="shared" si="0"/>
        <v>Supplies</v>
      </c>
      <c r="O18" s="10">
        <f t="shared" si="1"/>
        <v>1306.0959999999998</v>
      </c>
      <c r="Q18" t="s">
        <v>189</v>
      </c>
      <c r="R18" s="5">
        <f>YEAR(Table1[[#This Row],[Order Date]])</f>
        <v>2014</v>
      </c>
      <c r="W18" s="8" t="s">
        <v>28</v>
      </c>
      <c r="X18" s="9">
        <v>999.68000000000006</v>
      </c>
      <c r="Z18" t="str">
        <f t="shared" si="2"/>
        <v>Louisiana</v>
      </c>
      <c r="AA18" s="10">
        <f t="shared" si="3"/>
        <v>682.91</v>
      </c>
    </row>
    <row r="19" spans="11:33" x14ac:dyDescent="0.35">
      <c r="K19" s="8" t="s">
        <v>172</v>
      </c>
      <c r="L19" s="9">
        <v>1189.7440000000001</v>
      </c>
      <c r="N19" t="str">
        <f t="shared" si="0"/>
        <v>Envelopes</v>
      </c>
      <c r="O19" s="10">
        <f t="shared" si="1"/>
        <v>1189.7440000000001</v>
      </c>
      <c r="Q19" t="s">
        <v>197</v>
      </c>
      <c r="R19" s="5">
        <f>YEAR(Table1[[#This Row],[Order Date]])</f>
        <v>2014</v>
      </c>
      <c r="W19" s="8" t="s">
        <v>737</v>
      </c>
      <c r="X19" s="9">
        <v>682.91</v>
      </c>
      <c r="Z19" t="str">
        <f t="shared" si="2"/>
        <v>Massachusetts</v>
      </c>
      <c r="AA19" s="10">
        <f t="shared" si="3"/>
        <v>2337.0639999999999</v>
      </c>
    </row>
    <row r="20" spans="11:33" x14ac:dyDescent="0.35">
      <c r="K20" s="8" t="s">
        <v>46</v>
      </c>
      <c r="L20" s="9">
        <v>425.66000000000008</v>
      </c>
      <c r="N20" t="str">
        <f t="shared" si="0"/>
        <v>Labels</v>
      </c>
      <c r="O20" s="10">
        <f t="shared" si="1"/>
        <v>425.66000000000008</v>
      </c>
      <c r="Q20" t="s">
        <v>208</v>
      </c>
      <c r="R20" s="5">
        <f>YEAR(Table1[[#This Row],[Order Date]])</f>
        <v>2014</v>
      </c>
      <c r="W20" s="8" t="s">
        <v>1247</v>
      </c>
      <c r="X20" s="9">
        <v>2337.0639999999999</v>
      </c>
      <c r="Z20" t="str">
        <f t="shared" si="2"/>
        <v>Michigan</v>
      </c>
      <c r="AA20" s="10">
        <f t="shared" si="3"/>
        <v>2326.380000000001</v>
      </c>
    </row>
    <row r="21" spans="11:33" x14ac:dyDescent="0.35">
      <c r="K21" s="8" t="s">
        <v>268</v>
      </c>
      <c r="L21" s="9">
        <v>236.02599999999998</v>
      </c>
      <c r="N21" t="str">
        <f t="shared" si="0"/>
        <v>Fasteners</v>
      </c>
      <c r="O21" s="10">
        <f t="shared" si="1"/>
        <v>236.02599999999998</v>
      </c>
      <c r="Q21" t="s">
        <v>215</v>
      </c>
      <c r="R21" s="5">
        <f>YEAR(Table1[[#This Row],[Order Date]])</f>
        <v>2014</v>
      </c>
      <c r="W21" s="8" t="s">
        <v>237</v>
      </c>
      <c r="X21" s="9">
        <v>2326.380000000001</v>
      </c>
      <c r="Z21" t="str">
        <f t="shared" si="2"/>
        <v>Minnesota</v>
      </c>
      <c r="AA21" s="10">
        <f t="shared" si="3"/>
        <v>4036.2799999999997</v>
      </c>
    </row>
    <row r="22" spans="11:33" x14ac:dyDescent="0.35">
      <c r="K22" s="8" t="s">
        <v>1727</v>
      </c>
      <c r="L22" s="9">
        <v>129426.31610000001</v>
      </c>
      <c r="Q22" t="s">
        <v>220</v>
      </c>
      <c r="R22" s="5">
        <f>YEAR(Table1[[#This Row],[Order Date]])</f>
        <v>2014</v>
      </c>
      <c r="W22" s="8" t="s">
        <v>228</v>
      </c>
      <c r="X22" s="9">
        <v>4036.2799999999997</v>
      </c>
      <c r="Z22" t="str">
        <f t="shared" si="2"/>
        <v>Mississippi</v>
      </c>
      <c r="AA22" s="10">
        <f t="shared" si="3"/>
        <v>866.4</v>
      </c>
    </row>
    <row r="23" spans="11:33" x14ac:dyDescent="0.35">
      <c r="Q23" t="s">
        <v>226</v>
      </c>
      <c r="R23" s="5">
        <f>YEAR(Table1[[#This Row],[Order Date]])</f>
        <v>2016</v>
      </c>
      <c r="W23" s="8" t="s">
        <v>1491</v>
      </c>
      <c r="X23" s="9">
        <v>866.4</v>
      </c>
      <c r="Z23" t="str">
        <f t="shared" si="2"/>
        <v>Missouri</v>
      </c>
      <c r="AA23" s="10">
        <f t="shared" si="3"/>
        <v>839.43</v>
      </c>
    </row>
    <row r="24" spans="11:33" x14ac:dyDescent="0.35">
      <c r="Q24" t="s">
        <v>235</v>
      </c>
      <c r="R24" s="5">
        <f>YEAR(Table1[[#This Row],[Order Date]])</f>
        <v>2016</v>
      </c>
      <c r="W24" s="8" t="s">
        <v>596</v>
      </c>
      <c r="X24" s="9">
        <v>839.43</v>
      </c>
      <c r="Z24" t="str">
        <f t="shared" si="2"/>
        <v>Nebraska</v>
      </c>
      <c r="AA24" s="10">
        <f t="shared" si="3"/>
        <v>79.800000000000011</v>
      </c>
    </row>
    <row r="25" spans="11:33" x14ac:dyDescent="0.35">
      <c r="Q25" t="s">
        <v>242</v>
      </c>
      <c r="R25" s="5">
        <f>YEAR(Table1[[#This Row],[Order Date]])</f>
        <v>2017</v>
      </c>
      <c r="W25" s="8" t="s">
        <v>137</v>
      </c>
      <c r="X25" s="9">
        <v>79.800000000000011</v>
      </c>
      <c r="Z25" t="str">
        <f t="shared" si="2"/>
        <v>Nevada</v>
      </c>
      <c r="AA25" s="10">
        <f t="shared" si="3"/>
        <v>75.792000000000002</v>
      </c>
    </row>
    <row r="26" spans="11:33" x14ac:dyDescent="0.35">
      <c r="Q26" t="s">
        <v>251</v>
      </c>
      <c r="R26" s="5">
        <f>YEAR(Table1[[#This Row],[Order Date]])</f>
        <v>2015</v>
      </c>
      <c r="W26" s="8" t="s">
        <v>1395</v>
      </c>
      <c r="X26" s="9">
        <v>75.792000000000002</v>
      </c>
      <c r="Z26" t="str">
        <f t="shared" si="2"/>
        <v>New Jersey</v>
      </c>
      <c r="AA26" s="10">
        <f t="shared" si="3"/>
        <v>1739.71</v>
      </c>
    </row>
    <row r="27" spans="11:33" x14ac:dyDescent="0.35">
      <c r="Q27" t="s">
        <v>264</v>
      </c>
      <c r="R27" s="5">
        <f>YEAR(Table1[[#This Row],[Order Date]])</f>
        <v>2016</v>
      </c>
      <c r="W27" s="8" t="s">
        <v>789</v>
      </c>
      <c r="X27" s="9">
        <v>1739.71</v>
      </c>
      <c r="Z27" t="str">
        <f t="shared" si="2"/>
        <v>New Mexico</v>
      </c>
      <c r="AA27" s="10">
        <f t="shared" si="3"/>
        <v>28.4</v>
      </c>
    </row>
    <row r="28" spans="11:33" x14ac:dyDescent="0.35">
      <c r="Q28" t="s">
        <v>274</v>
      </c>
      <c r="R28" s="5">
        <f>YEAR(Table1[[#This Row],[Order Date]])</f>
        <v>2016</v>
      </c>
      <c r="W28" s="8" t="s">
        <v>668</v>
      </c>
      <c r="X28" s="9">
        <v>28.4</v>
      </c>
      <c r="Z28" t="str">
        <f t="shared" si="2"/>
        <v>New York</v>
      </c>
      <c r="AA28" s="10">
        <f t="shared" si="3"/>
        <v>16879.558000000005</v>
      </c>
    </row>
    <row r="29" spans="11:33" x14ac:dyDescent="0.35">
      <c r="Q29" t="s">
        <v>290</v>
      </c>
      <c r="R29" s="5">
        <f>YEAR(Table1[[#This Row],[Order Date]])</f>
        <v>2015</v>
      </c>
      <c r="W29" s="8" t="s">
        <v>266</v>
      </c>
      <c r="X29" s="9">
        <v>16879.558000000005</v>
      </c>
      <c r="Z29" t="str">
        <f t="shared" si="2"/>
        <v>North Carolina</v>
      </c>
      <c r="AA29" s="10">
        <f t="shared" si="3"/>
        <v>1324.98</v>
      </c>
    </row>
    <row r="30" spans="11:33" x14ac:dyDescent="0.35">
      <c r="Q30" t="s">
        <v>301</v>
      </c>
      <c r="R30" s="5">
        <f>YEAR(Table1[[#This Row],[Order Date]])</f>
        <v>2015</v>
      </c>
      <c r="W30" s="8" t="s">
        <v>87</v>
      </c>
      <c r="X30" s="9">
        <v>1324.98</v>
      </c>
      <c r="Z30" t="str">
        <f t="shared" si="2"/>
        <v>Ohio</v>
      </c>
      <c r="AA30" s="10">
        <f t="shared" si="3"/>
        <v>4773.1019999999999</v>
      </c>
    </row>
    <row r="31" spans="11:33" x14ac:dyDescent="0.35">
      <c r="Q31" t="s">
        <v>307</v>
      </c>
      <c r="R31" s="5">
        <f>YEAR(Table1[[#This Row],[Order Date]])</f>
        <v>2015</v>
      </c>
      <c r="W31" s="8" t="s">
        <v>497</v>
      </c>
      <c r="X31" s="9">
        <v>4773.1019999999999</v>
      </c>
      <c r="Z31" t="str">
        <f t="shared" si="2"/>
        <v>Oklahoma</v>
      </c>
      <c r="AA31" s="10">
        <f t="shared" si="3"/>
        <v>1023.43</v>
      </c>
    </row>
    <row r="32" spans="11:33" x14ac:dyDescent="0.35">
      <c r="Q32" t="s">
        <v>316</v>
      </c>
      <c r="R32" s="5">
        <f>YEAR(Table1[[#This Row],[Order Date]])</f>
        <v>2015</v>
      </c>
      <c r="W32" s="8" t="s">
        <v>649</v>
      </c>
      <c r="X32" s="9">
        <v>1023.43</v>
      </c>
      <c r="Z32" t="str">
        <f t="shared" si="2"/>
        <v>Oregon</v>
      </c>
      <c r="AA32" s="10">
        <f t="shared" si="3"/>
        <v>418.34599999999995</v>
      </c>
    </row>
    <row r="33" spans="17:27" x14ac:dyDescent="0.35">
      <c r="Q33" t="s">
        <v>323</v>
      </c>
      <c r="R33" s="5">
        <f>YEAR(Table1[[#This Row],[Order Date]])</f>
        <v>2015</v>
      </c>
      <c r="W33" s="8" t="s">
        <v>419</v>
      </c>
      <c r="X33" s="9">
        <v>418.34599999999995</v>
      </c>
      <c r="Z33" t="str">
        <f t="shared" si="2"/>
        <v>Pennsylvania</v>
      </c>
      <c r="AA33" s="10">
        <f t="shared" si="3"/>
        <v>6264.84</v>
      </c>
    </row>
    <row r="34" spans="17:27" x14ac:dyDescent="0.35">
      <c r="Q34" t="s">
        <v>164</v>
      </c>
      <c r="R34" s="5">
        <f>YEAR(Table1[[#This Row],[Order Date]])</f>
        <v>2015</v>
      </c>
      <c r="W34" s="8" t="s">
        <v>146</v>
      </c>
      <c r="X34" s="9">
        <v>6264.84</v>
      </c>
      <c r="Z34" t="str">
        <f t="shared" si="2"/>
        <v>Rhode Island</v>
      </c>
      <c r="AA34" s="10">
        <f t="shared" si="3"/>
        <v>62.92</v>
      </c>
    </row>
    <row r="35" spans="17:27" x14ac:dyDescent="0.35">
      <c r="Q35" t="s">
        <v>332</v>
      </c>
      <c r="R35" s="5">
        <f>YEAR(Table1[[#This Row],[Order Date]])</f>
        <v>2015</v>
      </c>
      <c r="W35" s="8" t="s">
        <v>1402</v>
      </c>
      <c r="X35" s="9">
        <v>62.92</v>
      </c>
      <c r="Z35" t="str">
        <f t="shared" si="2"/>
        <v>South Carolina</v>
      </c>
      <c r="AA35" s="10">
        <f t="shared" si="3"/>
        <v>301.95999999999998</v>
      </c>
    </row>
    <row r="36" spans="17:27" x14ac:dyDescent="0.35">
      <c r="Q36" t="s">
        <v>343</v>
      </c>
      <c r="R36" s="5">
        <f>YEAR(Table1[[#This Row],[Order Date]])</f>
        <v>2017</v>
      </c>
      <c r="W36" s="8" t="s">
        <v>382</v>
      </c>
      <c r="X36" s="9">
        <v>301.95999999999998</v>
      </c>
      <c r="Z36" t="str">
        <f t="shared" si="2"/>
        <v>Tennessee</v>
      </c>
      <c r="AA36" s="10">
        <f t="shared" si="3"/>
        <v>1951.86</v>
      </c>
    </row>
    <row r="37" spans="17:27" x14ac:dyDescent="0.35">
      <c r="Q37" t="s">
        <v>332</v>
      </c>
      <c r="R37" s="5">
        <f>YEAR(Table1[[#This Row],[Order Date]])</f>
        <v>2016</v>
      </c>
      <c r="W37" s="8" t="s">
        <v>334</v>
      </c>
      <c r="X37" s="9">
        <v>1951.86</v>
      </c>
      <c r="Z37" t="str">
        <f t="shared" si="2"/>
        <v>Texas</v>
      </c>
      <c r="AA37" s="10">
        <f t="shared" si="3"/>
        <v>24134.155599999987</v>
      </c>
    </row>
    <row r="38" spans="17:27" x14ac:dyDescent="0.35">
      <c r="Q38" t="s">
        <v>355</v>
      </c>
      <c r="R38" s="5">
        <f>YEAR(Table1[[#This Row],[Order Date]])</f>
        <v>2016</v>
      </c>
      <c r="W38" s="8" t="s">
        <v>103</v>
      </c>
      <c r="X38" s="9">
        <v>24134.155599999987</v>
      </c>
      <c r="Z38" t="str">
        <f t="shared" si="2"/>
        <v>Utah</v>
      </c>
      <c r="AA38" s="10">
        <f t="shared" si="3"/>
        <v>1105.0900000000001</v>
      </c>
    </row>
    <row r="39" spans="17:27" x14ac:dyDescent="0.35">
      <c r="Q39" t="s">
        <v>364</v>
      </c>
      <c r="R39" s="5">
        <f>YEAR(Table1[[#This Row],[Order Date]])</f>
        <v>2015</v>
      </c>
      <c r="W39" s="8" t="s">
        <v>120</v>
      </c>
      <c r="X39" s="9">
        <v>1105.0900000000001</v>
      </c>
      <c r="Z39" t="str">
        <f t="shared" si="2"/>
        <v>Virginia</v>
      </c>
      <c r="AA39" s="10">
        <f t="shared" si="3"/>
        <v>80.77</v>
      </c>
    </row>
    <row r="40" spans="17:27" x14ac:dyDescent="0.35">
      <c r="Q40" t="s">
        <v>371</v>
      </c>
      <c r="R40" s="5">
        <f>YEAR(Table1[[#This Row],[Order Date]])</f>
        <v>2015</v>
      </c>
      <c r="W40" s="8" t="s">
        <v>318</v>
      </c>
      <c r="X40" s="9">
        <v>80.77</v>
      </c>
      <c r="Z40" t="str">
        <f t="shared" si="2"/>
        <v>Washington</v>
      </c>
      <c r="AA40" s="10">
        <f t="shared" si="3"/>
        <v>5329.8559999999998</v>
      </c>
    </row>
    <row r="41" spans="17:27" x14ac:dyDescent="0.35">
      <c r="Q41" t="s">
        <v>377</v>
      </c>
      <c r="R41" s="5">
        <f>YEAR(Table1[[#This Row],[Order Date]])</f>
        <v>2015</v>
      </c>
      <c r="W41" s="8" t="s">
        <v>95</v>
      </c>
      <c r="X41" s="9">
        <v>5329.8559999999998</v>
      </c>
      <c r="Z41" t="str">
        <f t="shared" si="2"/>
        <v>Wisconsin</v>
      </c>
      <c r="AA41" s="10">
        <f t="shared" si="3"/>
        <v>3323.69</v>
      </c>
    </row>
    <row r="42" spans="17:27" x14ac:dyDescent="0.35">
      <c r="Q42" t="s">
        <v>235</v>
      </c>
      <c r="R42" s="5">
        <f>YEAR(Table1[[#This Row],[Order Date]])</f>
        <v>2015</v>
      </c>
      <c r="W42" s="8" t="s">
        <v>113</v>
      </c>
      <c r="X42" s="9">
        <v>3323.69</v>
      </c>
      <c r="AA42" s="10"/>
    </row>
    <row r="43" spans="17:27" x14ac:dyDescent="0.35">
      <c r="Q43" t="s">
        <v>387</v>
      </c>
      <c r="R43" s="5">
        <f>YEAR(Table1[[#This Row],[Order Date]])</f>
        <v>2017</v>
      </c>
      <c r="W43" s="8" t="s">
        <v>1727</v>
      </c>
      <c r="X43" s="9">
        <v>129426.31609999998</v>
      </c>
    </row>
    <row r="44" spans="17:27" x14ac:dyDescent="0.35">
      <c r="Q44" t="s">
        <v>395</v>
      </c>
      <c r="R44" s="5">
        <f>YEAR(Table1[[#This Row],[Order Date]])</f>
        <v>2016</v>
      </c>
      <c r="X44" s="10"/>
    </row>
    <row r="45" spans="17:27" x14ac:dyDescent="0.35">
      <c r="Q45" t="s">
        <v>400</v>
      </c>
      <c r="R45" s="5">
        <f>YEAR(Table1[[#This Row],[Order Date]])</f>
        <v>2017</v>
      </c>
    </row>
    <row r="46" spans="17:27" x14ac:dyDescent="0.35">
      <c r="Q46" t="s">
        <v>407</v>
      </c>
      <c r="R46" s="5">
        <f>YEAR(Table1[[#This Row],[Order Date]])</f>
        <v>2016</v>
      </c>
    </row>
    <row r="47" spans="17:27" x14ac:dyDescent="0.35">
      <c r="Q47" t="s">
        <v>417</v>
      </c>
      <c r="R47" s="5">
        <f>YEAR(Table1[[#This Row],[Order Date]])</f>
        <v>2016</v>
      </c>
    </row>
    <row r="48" spans="17:27" x14ac:dyDescent="0.35">
      <c r="Q48" t="s">
        <v>424</v>
      </c>
      <c r="R48" s="5">
        <f>YEAR(Table1[[#This Row],[Order Date]])</f>
        <v>2014</v>
      </c>
    </row>
    <row r="49" spans="17:18" x14ac:dyDescent="0.35">
      <c r="Q49" t="s">
        <v>429</v>
      </c>
      <c r="R49" s="5">
        <f>YEAR(Table1[[#This Row],[Order Date]])</f>
        <v>2016</v>
      </c>
    </row>
    <row r="50" spans="17:18" x14ac:dyDescent="0.35">
      <c r="Q50" t="s">
        <v>434</v>
      </c>
      <c r="R50" s="5">
        <f>YEAR(Table1[[#This Row],[Order Date]])</f>
        <v>2016</v>
      </c>
    </row>
    <row r="51" spans="17:18" x14ac:dyDescent="0.35">
      <c r="Q51" t="s">
        <v>440</v>
      </c>
      <c r="R51" s="5">
        <f>YEAR(Table1[[#This Row],[Order Date]])</f>
        <v>2015</v>
      </c>
    </row>
    <row r="52" spans="17:18" x14ac:dyDescent="0.35">
      <c r="Q52" t="s">
        <v>449</v>
      </c>
      <c r="R52" s="5">
        <f>YEAR(Table1[[#This Row],[Order Date]])</f>
        <v>2015</v>
      </c>
    </row>
    <row r="53" spans="17:18" x14ac:dyDescent="0.35">
      <c r="Q53" t="s">
        <v>454</v>
      </c>
      <c r="R53" s="5">
        <f>YEAR(Table1[[#This Row],[Order Date]])</f>
        <v>2015</v>
      </c>
    </row>
    <row r="54" spans="17:18" x14ac:dyDescent="0.35">
      <c r="Q54" t="s">
        <v>465</v>
      </c>
      <c r="R54" s="5">
        <f>YEAR(Table1[[#This Row],[Order Date]])</f>
        <v>2015</v>
      </c>
    </row>
    <row r="55" spans="17:18" x14ac:dyDescent="0.35">
      <c r="Q55" t="s">
        <v>475</v>
      </c>
      <c r="R55" s="5">
        <f>YEAR(Table1[[#This Row],[Order Date]])</f>
        <v>2016</v>
      </c>
    </row>
    <row r="56" spans="17:18" x14ac:dyDescent="0.35">
      <c r="Q56" t="s">
        <v>481</v>
      </c>
      <c r="R56" s="5">
        <f>YEAR(Table1[[#This Row],[Order Date]])</f>
        <v>2016</v>
      </c>
    </row>
    <row r="57" spans="17:18" x14ac:dyDescent="0.35">
      <c r="Q57" t="s">
        <v>486</v>
      </c>
      <c r="R57" s="5">
        <f>YEAR(Table1[[#This Row],[Order Date]])</f>
        <v>2016</v>
      </c>
    </row>
    <row r="58" spans="17:18" x14ac:dyDescent="0.35">
      <c r="Q58" t="s">
        <v>495</v>
      </c>
      <c r="R58" s="5">
        <f>YEAR(Table1[[#This Row],[Order Date]])</f>
        <v>2016</v>
      </c>
    </row>
    <row r="59" spans="17:18" x14ac:dyDescent="0.35">
      <c r="Q59" t="s">
        <v>508</v>
      </c>
      <c r="R59" s="5">
        <f>YEAR(Table1[[#This Row],[Order Date]])</f>
        <v>2016</v>
      </c>
    </row>
    <row r="60" spans="17:18" x14ac:dyDescent="0.35">
      <c r="Q60" t="s">
        <v>513</v>
      </c>
      <c r="R60" s="5">
        <f>YEAR(Table1[[#This Row],[Order Date]])</f>
        <v>2016</v>
      </c>
    </row>
    <row r="61" spans="17:18" x14ac:dyDescent="0.35">
      <c r="Q61" t="s">
        <v>519</v>
      </c>
      <c r="R61" s="5">
        <f>YEAR(Table1[[#This Row],[Order Date]])</f>
        <v>2016</v>
      </c>
    </row>
    <row r="62" spans="17:18" x14ac:dyDescent="0.35">
      <c r="Q62" t="s">
        <v>531</v>
      </c>
      <c r="R62" s="5">
        <f>YEAR(Table1[[#This Row],[Order Date]])</f>
        <v>2016</v>
      </c>
    </row>
    <row r="63" spans="17:18" x14ac:dyDescent="0.35">
      <c r="Q63" t="s">
        <v>536</v>
      </c>
      <c r="R63" s="5">
        <f>YEAR(Table1[[#This Row],[Order Date]])</f>
        <v>2016</v>
      </c>
    </row>
    <row r="64" spans="17:18" x14ac:dyDescent="0.35">
      <c r="Q64" t="s">
        <v>542</v>
      </c>
      <c r="R64" s="5">
        <f>YEAR(Table1[[#This Row],[Order Date]])</f>
        <v>2015</v>
      </c>
    </row>
    <row r="65" spans="17:18" x14ac:dyDescent="0.35">
      <c r="Q65" t="s">
        <v>550</v>
      </c>
      <c r="R65" s="5">
        <f>YEAR(Table1[[#This Row],[Order Date]])</f>
        <v>2015</v>
      </c>
    </row>
    <row r="66" spans="17:18" x14ac:dyDescent="0.35">
      <c r="Q66" t="s">
        <v>556</v>
      </c>
      <c r="R66" s="5">
        <f>YEAR(Table1[[#This Row],[Order Date]])</f>
        <v>2015</v>
      </c>
    </row>
    <row r="67" spans="17:18" x14ac:dyDescent="0.35">
      <c r="Q67" t="s">
        <v>565</v>
      </c>
      <c r="R67" s="5">
        <f>YEAR(Table1[[#This Row],[Order Date]])</f>
        <v>2015</v>
      </c>
    </row>
    <row r="68" spans="17:18" x14ac:dyDescent="0.35">
      <c r="Q68" t="s">
        <v>582</v>
      </c>
      <c r="R68" s="5">
        <f>YEAR(Table1[[#This Row],[Order Date]])</f>
        <v>2015</v>
      </c>
    </row>
    <row r="69" spans="17:18" x14ac:dyDescent="0.35">
      <c r="Q69" t="s">
        <v>585</v>
      </c>
      <c r="R69" s="5">
        <f>YEAR(Table1[[#This Row],[Order Date]])</f>
        <v>2014</v>
      </c>
    </row>
    <row r="70" spans="17:18" x14ac:dyDescent="0.35">
      <c r="Q70" t="s">
        <v>594</v>
      </c>
      <c r="R70" s="5">
        <f>YEAR(Table1[[#This Row],[Order Date]])</f>
        <v>2014</v>
      </c>
    </row>
    <row r="71" spans="17:18" x14ac:dyDescent="0.35">
      <c r="Q71" t="s">
        <v>601</v>
      </c>
      <c r="R71" s="5">
        <f>YEAR(Table1[[#This Row],[Order Date]])</f>
        <v>2016</v>
      </c>
    </row>
    <row r="72" spans="17:18" x14ac:dyDescent="0.35">
      <c r="Q72" t="s">
        <v>605</v>
      </c>
      <c r="R72" s="5">
        <f>YEAR(Table1[[#This Row],[Order Date]])</f>
        <v>2016</v>
      </c>
    </row>
    <row r="73" spans="17:18" x14ac:dyDescent="0.35">
      <c r="Q73" t="s">
        <v>611</v>
      </c>
      <c r="R73" s="5">
        <f>YEAR(Table1[[#This Row],[Order Date]])</f>
        <v>2017</v>
      </c>
    </row>
    <row r="74" spans="17:18" x14ac:dyDescent="0.35">
      <c r="Q74" t="s">
        <v>621</v>
      </c>
      <c r="R74" s="5">
        <f>YEAR(Table1[[#This Row],[Order Date]])</f>
        <v>2015</v>
      </c>
    </row>
    <row r="75" spans="17:18" x14ac:dyDescent="0.35">
      <c r="Q75" t="s">
        <v>629</v>
      </c>
      <c r="R75" s="5">
        <f>YEAR(Table1[[#This Row],[Order Date]])</f>
        <v>2015</v>
      </c>
    </row>
    <row r="76" spans="17:18" x14ac:dyDescent="0.35">
      <c r="Q76" t="s">
        <v>639</v>
      </c>
      <c r="R76" s="5">
        <f>YEAR(Table1[[#This Row],[Order Date]])</f>
        <v>2015</v>
      </c>
    </row>
    <row r="77" spans="17:18" x14ac:dyDescent="0.35">
      <c r="Q77" t="s">
        <v>644</v>
      </c>
      <c r="R77" s="5">
        <f>YEAR(Table1[[#This Row],[Order Date]])</f>
        <v>2017</v>
      </c>
    </row>
    <row r="78" spans="17:18" x14ac:dyDescent="0.35">
      <c r="Q78" t="s">
        <v>647</v>
      </c>
      <c r="R78" s="5">
        <f>YEAR(Table1[[#This Row],[Order Date]])</f>
        <v>2017</v>
      </c>
    </row>
    <row r="79" spans="17:18" x14ac:dyDescent="0.35">
      <c r="Q79" t="s">
        <v>656</v>
      </c>
      <c r="R79" s="5">
        <f>YEAR(Table1[[#This Row],[Order Date]])</f>
        <v>2017</v>
      </c>
    </row>
    <row r="80" spans="17:18" x14ac:dyDescent="0.35">
      <c r="Q80" t="s">
        <v>661</v>
      </c>
      <c r="R80" s="5">
        <f>YEAR(Table1[[#This Row],[Order Date]])</f>
        <v>2014</v>
      </c>
    </row>
    <row r="81" spans="17:18" x14ac:dyDescent="0.35">
      <c r="Q81" t="s">
        <v>666</v>
      </c>
      <c r="R81" s="5">
        <f>YEAR(Table1[[#This Row],[Order Date]])</f>
        <v>2016</v>
      </c>
    </row>
    <row r="82" spans="17:18" x14ac:dyDescent="0.35">
      <c r="Q82" t="s">
        <v>673</v>
      </c>
      <c r="R82" s="5">
        <f>YEAR(Table1[[#This Row],[Order Date]])</f>
        <v>2016</v>
      </c>
    </row>
    <row r="83" spans="17:18" x14ac:dyDescent="0.35">
      <c r="Q83" t="s">
        <v>678</v>
      </c>
      <c r="R83" s="5">
        <f>YEAR(Table1[[#This Row],[Order Date]])</f>
        <v>2014</v>
      </c>
    </row>
    <row r="84" spans="17:18" x14ac:dyDescent="0.35">
      <c r="Q84" t="s">
        <v>697</v>
      </c>
      <c r="R84" s="5">
        <f>YEAR(Table1[[#This Row],[Order Date]])</f>
        <v>2014</v>
      </c>
    </row>
    <row r="85" spans="17:18" x14ac:dyDescent="0.35">
      <c r="Q85" t="s">
        <v>706</v>
      </c>
      <c r="R85" s="5">
        <f>YEAR(Table1[[#This Row],[Order Date]])</f>
        <v>2015</v>
      </c>
    </row>
    <row r="86" spans="17:18" x14ac:dyDescent="0.35">
      <c r="Q86" t="s">
        <v>713</v>
      </c>
      <c r="R86" s="5">
        <f>YEAR(Table1[[#This Row],[Order Date]])</f>
        <v>2017</v>
      </c>
    </row>
    <row r="87" spans="17:18" x14ac:dyDescent="0.35">
      <c r="Q87" t="s">
        <v>723</v>
      </c>
      <c r="R87" s="5">
        <f>YEAR(Table1[[#This Row],[Order Date]])</f>
        <v>2017</v>
      </c>
    </row>
    <row r="88" spans="17:18" x14ac:dyDescent="0.35">
      <c r="Q88" t="s">
        <v>728</v>
      </c>
      <c r="R88" s="5">
        <f>YEAR(Table1[[#This Row],[Order Date]])</f>
        <v>2017</v>
      </c>
    </row>
    <row r="89" spans="17:18" x14ac:dyDescent="0.35">
      <c r="Q89" t="s">
        <v>735</v>
      </c>
      <c r="R89" s="5">
        <f>YEAR(Table1[[#This Row],[Order Date]])</f>
        <v>2017</v>
      </c>
    </row>
    <row r="90" spans="17:18" x14ac:dyDescent="0.35">
      <c r="Q90" t="s">
        <v>746</v>
      </c>
      <c r="R90" s="5">
        <f>YEAR(Table1[[#This Row],[Order Date]])</f>
        <v>2016</v>
      </c>
    </row>
    <row r="91" spans="17:18" x14ac:dyDescent="0.35">
      <c r="Q91" t="s">
        <v>753</v>
      </c>
      <c r="R91" s="5">
        <f>YEAR(Table1[[#This Row],[Order Date]])</f>
        <v>2016</v>
      </c>
    </row>
    <row r="92" spans="17:18" x14ac:dyDescent="0.35">
      <c r="Q92" t="s">
        <v>758</v>
      </c>
      <c r="R92" s="5">
        <f>YEAR(Table1[[#This Row],[Order Date]])</f>
        <v>2016</v>
      </c>
    </row>
    <row r="93" spans="17:18" x14ac:dyDescent="0.35">
      <c r="Q93" t="s">
        <v>764</v>
      </c>
      <c r="R93" s="5">
        <f>YEAR(Table1[[#This Row],[Order Date]])</f>
        <v>2016</v>
      </c>
    </row>
    <row r="94" spans="17:18" x14ac:dyDescent="0.35">
      <c r="Q94" t="s">
        <v>775</v>
      </c>
      <c r="R94" s="5">
        <f>YEAR(Table1[[#This Row],[Order Date]])</f>
        <v>2015</v>
      </c>
    </row>
    <row r="95" spans="17:18" x14ac:dyDescent="0.35">
      <c r="Q95" t="s">
        <v>779</v>
      </c>
      <c r="R95" s="5">
        <f>YEAR(Table1[[#This Row],[Order Date]])</f>
        <v>2015</v>
      </c>
    </row>
    <row r="96" spans="17:18" x14ac:dyDescent="0.35">
      <c r="Q96" t="s">
        <v>787</v>
      </c>
      <c r="R96" s="5">
        <f>YEAR(Table1[[#This Row],[Order Date]])</f>
        <v>2015</v>
      </c>
    </row>
    <row r="97" spans="17:18" x14ac:dyDescent="0.35">
      <c r="Q97" t="s">
        <v>794</v>
      </c>
      <c r="R97" s="5">
        <f>YEAR(Table1[[#This Row],[Order Date]])</f>
        <v>2017</v>
      </c>
    </row>
    <row r="98" spans="17:18" x14ac:dyDescent="0.35">
      <c r="Q98" t="s">
        <v>801</v>
      </c>
      <c r="R98" s="5">
        <f>YEAR(Table1[[#This Row],[Order Date]])</f>
        <v>2017</v>
      </c>
    </row>
    <row r="99" spans="17:18" x14ac:dyDescent="0.35">
      <c r="Q99" t="s">
        <v>807</v>
      </c>
      <c r="R99" s="5">
        <f>YEAR(Table1[[#This Row],[Order Date]])</f>
        <v>2017</v>
      </c>
    </row>
    <row r="100" spans="17:18" x14ac:dyDescent="0.35">
      <c r="Q100" t="s">
        <v>815</v>
      </c>
      <c r="R100" s="5">
        <f>YEAR(Table1[[#This Row],[Order Date]])</f>
        <v>2016</v>
      </c>
    </row>
    <row r="101" spans="17:18" x14ac:dyDescent="0.35">
      <c r="Q101" t="s">
        <v>821</v>
      </c>
      <c r="R101" s="5">
        <f>YEAR(Table1[[#This Row],[Order Date]])</f>
        <v>2016</v>
      </c>
    </row>
    <row r="102" spans="17:18" x14ac:dyDescent="0.35">
      <c r="Q102" t="s">
        <v>826</v>
      </c>
      <c r="R102" s="5">
        <f>YEAR(Table1[[#This Row],[Order Date]])</f>
        <v>2016</v>
      </c>
    </row>
    <row r="103" spans="17:18" x14ac:dyDescent="0.35">
      <c r="Q103" t="s">
        <v>832</v>
      </c>
      <c r="R103" s="5">
        <f>YEAR(Table1[[#This Row],[Order Date]])</f>
        <v>2016</v>
      </c>
    </row>
    <row r="104" spans="17:18" x14ac:dyDescent="0.35">
      <c r="Q104" t="s">
        <v>844</v>
      </c>
      <c r="R104" s="5">
        <f>YEAR(Table1[[#This Row],[Order Date]])</f>
        <v>2016</v>
      </c>
    </row>
    <row r="105" spans="17:18" x14ac:dyDescent="0.35">
      <c r="Q105" t="s">
        <v>849</v>
      </c>
      <c r="R105" s="5">
        <f>YEAR(Table1[[#This Row],[Order Date]])</f>
        <v>2015</v>
      </c>
    </row>
    <row r="106" spans="17:18" x14ac:dyDescent="0.35">
      <c r="Q106" t="s">
        <v>861</v>
      </c>
      <c r="R106" s="5">
        <f>YEAR(Table1[[#This Row],[Order Date]])</f>
        <v>2015</v>
      </c>
    </row>
    <row r="107" spans="17:18" x14ac:dyDescent="0.35">
      <c r="Q107" t="s">
        <v>866</v>
      </c>
      <c r="R107" s="5">
        <f>YEAR(Table1[[#This Row],[Order Date]])</f>
        <v>2015</v>
      </c>
    </row>
    <row r="108" spans="17:18" x14ac:dyDescent="0.35">
      <c r="Q108" t="s">
        <v>880</v>
      </c>
      <c r="R108" s="5">
        <f>YEAR(Table1[[#This Row],[Order Date]])</f>
        <v>2017</v>
      </c>
    </row>
    <row r="109" spans="17:18" x14ac:dyDescent="0.35">
      <c r="Q109" t="s">
        <v>890</v>
      </c>
      <c r="R109" s="5">
        <f>YEAR(Table1[[#This Row],[Order Date]])</f>
        <v>2017</v>
      </c>
    </row>
    <row r="110" spans="17:18" x14ac:dyDescent="0.35">
      <c r="Q110" t="s">
        <v>897</v>
      </c>
      <c r="R110" s="5">
        <f>YEAR(Table1[[#This Row],[Order Date]])</f>
        <v>2017</v>
      </c>
    </row>
    <row r="111" spans="17:18" x14ac:dyDescent="0.35">
      <c r="Q111" t="s">
        <v>912</v>
      </c>
      <c r="R111" s="5">
        <f>YEAR(Table1[[#This Row],[Order Date]])</f>
        <v>2015</v>
      </c>
    </row>
    <row r="112" spans="17:18" x14ac:dyDescent="0.35">
      <c r="Q112" t="s">
        <v>918</v>
      </c>
      <c r="R112" s="5">
        <f>YEAR(Table1[[#This Row],[Order Date]])</f>
        <v>2017</v>
      </c>
    </row>
    <row r="113" spans="17:18" x14ac:dyDescent="0.35">
      <c r="Q113" t="s">
        <v>933</v>
      </c>
      <c r="R113" s="5">
        <f>YEAR(Table1[[#This Row],[Order Date]])</f>
        <v>2016</v>
      </c>
    </row>
    <row r="114" spans="17:18" x14ac:dyDescent="0.35">
      <c r="Q114" t="s">
        <v>943</v>
      </c>
      <c r="R114" s="5">
        <f>YEAR(Table1[[#This Row],[Order Date]])</f>
        <v>2016</v>
      </c>
    </row>
    <row r="115" spans="17:18" x14ac:dyDescent="0.35">
      <c r="Q115" t="s">
        <v>948</v>
      </c>
      <c r="R115" s="5">
        <f>YEAR(Table1[[#This Row],[Order Date]])</f>
        <v>2014</v>
      </c>
    </row>
    <row r="116" spans="17:18" x14ac:dyDescent="0.35">
      <c r="Q116" t="s">
        <v>954</v>
      </c>
      <c r="R116" s="5">
        <f>YEAR(Table1[[#This Row],[Order Date]])</f>
        <v>2014</v>
      </c>
    </row>
    <row r="117" spans="17:18" x14ac:dyDescent="0.35">
      <c r="Q117" t="s">
        <v>961</v>
      </c>
      <c r="R117" s="5">
        <f>YEAR(Table1[[#This Row],[Order Date]])</f>
        <v>2014</v>
      </c>
    </row>
    <row r="118" spans="17:18" x14ac:dyDescent="0.35">
      <c r="Q118" t="s">
        <v>968</v>
      </c>
      <c r="R118" s="5">
        <f>YEAR(Table1[[#This Row],[Order Date]])</f>
        <v>2014</v>
      </c>
    </row>
    <row r="119" spans="17:18" x14ac:dyDescent="0.35">
      <c r="Q119" t="s">
        <v>977</v>
      </c>
      <c r="R119" s="5">
        <f>YEAR(Table1[[#This Row],[Order Date]])</f>
        <v>2015</v>
      </c>
    </row>
    <row r="120" spans="17:18" x14ac:dyDescent="0.35">
      <c r="Q120" t="s">
        <v>982</v>
      </c>
      <c r="R120" s="5">
        <f>YEAR(Table1[[#This Row],[Order Date]])</f>
        <v>2015</v>
      </c>
    </row>
    <row r="121" spans="17:18" x14ac:dyDescent="0.35">
      <c r="Q121" t="s">
        <v>987</v>
      </c>
      <c r="R121" s="5">
        <f>YEAR(Table1[[#This Row],[Order Date]])</f>
        <v>2016</v>
      </c>
    </row>
    <row r="122" spans="17:18" x14ac:dyDescent="0.35">
      <c r="Q122" t="s">
        <v>992</v>
      </c>
      <c r="R122" s="5">
        <f>YEAR(Table1[[#This Row],[Order Date]])</f>
        <v>2016</v>
      </c>
    </row>
    <row r="123" spans="17:18" x14ac:dyDescent="0.35">
      <c r="Q123" t="s">
        <v>998</v>
      </c>
      <c r="R123" s="5">
        <f>YEAR(Table1[[#This Row],[Order Date]])</f>
        <v>2016</v>
      </c>
    </row>
    <row r="124" spans="17:18" x14ac:dyDescent="0.35">
      <c r="Q124" t="s">
        <v>387</v>
      </c>
      <c r="R124" s="5">
        <f>YEAR(Table1[[#This Row],[Order Date]])</f>
        <v>2016</v>
      </c>
    </row>
    <row r="125" spans="17:18" x14ac:dyDescent="0.35">
      <c r="Q125" t="s">
        <v>1008</v>
      </c>
      <c r="R125" s="5">
        <f>YEAR(Table1[[#This Row],[Order Date]])</f>
        <v>2016</v>
      </c>
    </row>
    <row r="126" spans="17:18" x14ac:dyDescent="0.35">
      <c r="Q126" t="s">
        <v>1016</v>
      </c>
      <c r="R126" s="5">
        <f>YEAR(Table1[[#This Row],[Order Date]])</f>
        <v>2014</v>
      </c>
    </row>
    <row r="127" spans="17:18" x14ac:dyDescent="0.35">
      <c r="Q127" t="s">
        <v>1028</v>
      </c>
      <c r="R127" s="5">
        <f>YEAR(Table1[[#This Row],[Order Date]])</f>
        <v>2014</v>
      </c>
    </row>
    <row r="128" spans="17:18" x14ac:dyDescent="0.35">
      <c r="Q128" t="s">
        <v>1036</v>
      </c>
      <c r="R128" s="5">
        <f>YEAR(Table1[[#This Row],[Order Date]])</f>
        <v>2017</v>
      </c>
    </row>
    <row r="129" spans="17:18" x14ac:dyDescent="0.35">
      <c r="Q129" t="s">
        <v>519</v>
      </c>
      <c r="R129" s="5">
        <f>YEAR(Table1[[#This Row],[Order Date]])</f>
        <v>2017</v>
      </c>
    </row>
    <row r="130" spans="17:18" x14ac:dyDescent="0.35">
      <c r="Q130" t="s">
        <v>1052</v>
      </c>
      <c r="R130" s="5">
        <f>YEAR(Table1[[#This Row],[Order Date]])</f>
        <v>2016</v>
      </c>
    </row>
    <row r="131" spans="17:18" x14ac:dyDescent="0.35">
      <c r="Q131" t="s">
        <v>1063</v>
      </c>
      <c r="R131" s="5">
        <f>YEAR(Table1[[#This Row],[Order Date]])</f>
        <v>2016</v>
      </c>
    </row>
    <row r="132" spans="17:18" x14ac:dyDescent="0.35">
      <c r="Q132" t="s">
        <v>1071</v>
      </c>
      <c r="R132" s="5">
        <f>YEAR(Table1[[#This Row],[Order Date]])</f>
        <v>2017</v>
      </c>
    </row>
    <row r="133" spans="17:18" x14ac:dyDescent="0.35">
      <c r="Q133" t="s">
        <v>1082</v>
      </c>
      <c r="R133" s="5">
        <f>YEAR(Table1[[#This Row],[Order Date]])</f>
        <v>2017</v>
      </c>
    </row>
    <row r="134" spans="17:18" x14ac:dyDescent="0.35">
      <c r="Q134" t="s">
        <v>861</v>
      </c>
      <c r="R134" s="5">
        <f>YEAR(Table1[[#This Row],[Order Date]])</f>
        <v>2017</v>
      </c>
    </row>
    <row r="135" spans="17:18" x14ac:dyDescent="0.35">
      <c r="Q135" t="s">
        <v>1111</v>
      </c>
      <c r="R135" s="5">
        <f>YEAR(Table1[[#This Row],[Order Date]])</f>
        <v>2016</v>
      </c>
    </row>
    <row r="136" spans="17:18" x14ac:dyDescent="0.35">
      <c r="Q136" t="s">
        <v>343</v>
      </c>
      <c r="R136" s="5">
        <f>YEAR(Table1[[#This Row],[Order Date]])</f>
        <v>2016</v>
      </c>
    </row>
    <row r="137" spans="17:18" x14ac:dyDescent="0.35">
      <c r="Q137" t="s">
        <v>1120</v>
      </c>
      <c r="R137" s="5">
        <f>YEAR(Table1[[#This Row],[Order Date]])</f>
        <v>2016</v>
      </c>
    </row>
    <row r="138" spans="17:18" x14ac:dyDescent="0.35">
      <c r="Q138" t="s">
        <v>1128</v>
      </c>
      <c r="R138" s="5">
        <f>YEAR(Table1[[#This Row],[Order Date]])</f>
        <v>2016</v>
      </c>
    </row>
    <row r="139" spans="17:18" x14ac:dyDescent="0.35">
      <c r="Q139" t="s">
        <v>1134</v>
      </c>
      <c r="R139" s="5">
        <f>YEAR(Table1[[#This Row],[Order Date]])</f>
        <v>2016</v>
      </c>
    </row>
    <row r="140" spans="17:18" x14ac:dyDescent="0.35">
      <c r="Q140" t="s">
        <v>1146</v>
      </c>
      <c r="R140" s="5">
        <f>YEAR(Table1[[#This Row],[Order Date]])</f>
        <v>2016</v>
      </c>
    </row>
    <row r="141" spans="17:18" x14ac:dyDescent="0.35">
      <c r="Q141" t="s">
        <v>1152</v>
      </c>
      <c r="R141" s="5">
        <f>YEAR(Table1[[#This Row],[Order Date]])</f>
        <v>2016</v>
      </c>
    </row>
    <row r="142" spans="17:18" x14ac:dyDescent="0.35">
      <c r="Q142" t="s">
        <v>1160</v>
      </c>
      <c r="R142" s="5">
        <f>YEAR(Table1[[#This Row],[Order Date]])</f>
        <v>2016</v>
      </c>
    </row>
    <row r="143" spans="17:18" x14ac:dyDescent="0.35">
      <c r="Q143" t="s">
        <v>1165</v>
      </c>
      <c r="R143" s="5">
        <f>YEAR(Table1[[#This Row],[Order Date]])</f>
        <v>2017</v>
      </c>
    </row>
    <row r="144" spans="17:18" x14ac:dyDescent="0.35">
      <c r="Q144" t="s">
        <v>1174</v>
      </c>
      <c r="R144" s="5">
        <f>YEAR(Table1[[#This Row],[Order Date]])</f>
        <v>2017</v>
      </c>
    </row>
    <row r="145" spans="17:18" x14ac:dyDescent="0.35">
      <c r="Q145" t="s">
        <v>1180</v>
      </c>
      <c r="R145" s="5">
        <f>YEAR(Table1[[#This Row],[Order Date]])</f>
        <v>2017</v>
      </c>
    </row>
    <row r="146" spans="17:18" x14ac:dyDescent="0.35">
      <c r="Q146" t="s">
        <v>1186</v>
      </c>
      <c r="R146" s="5">
        <f>YEAR(Table1[[#This Row],[Order Date]])</f>
        <v>2017</v>
      </c>
    </row>
    <row r="147" spans="17:18" x14ac:dyDescent="0.35">
      <c r="Q147" t="s">
        <v>1192</v>
      </c>
      <c r="R147" s="5">
        <f>YEAR(Table1[[#This Row],[Order Date]])</f>
        <v>2015</v>
      </c>
    </row>
    <row r="148" spans="17:18" x14ac:dyDescent="0.35">
      <c r="Q148" t="s">
        <v>1205</v>
      </c>
      <c r="R148" s="5">
        <f>YEAR(Table1[[#This Row],[Order Date]])</f>
        <v>2014</v>
      </c>
    </row>
    <row r="149" spans="17:18" x14ac:dyDescent="0.35">
      <c r="Q149" t="s">
        <v>1214</v>
      </c>
      <c r="R149" s="5">
        <f>YEAR(Table1[[#This Row],[Order Date]])</f>
        <v>2016</v>
      </c>
    </row>
    <row r="150" spans="17:18" x14ac:dyDescent="0.35">
      <c r="Q150" t="s">
        <v>1224</v>
      </c>
      <c r="R150" s="5">
        <f>YEAR(Table1[[#This Row],[Order Date]])</f>
        <v>2016</v>
      </c>
    </row>
    <row r="151" spans="17:18" x14ac:dyDescent="0.35">
      <c r="Q151" t="s">
        <v>918</v>
      </c>
      <c r="R151" s="5">
        <f>YEAR(Table1[[#This Row],[Order Date]])</f>
        <v>2016</v>
      </c>
    </row>
    <row r="152" spans="17:18" x14ac:dyDescent="0.35">
      <c r="Q152" t="s">
        <v>582</v>
      </c>
      <c r="R152" s="5">
        <f>YEAR(Table1[[#This Row],[Order Date]])</f>
        <v>2016</v>
      </c>
    </row>
    <row r="153" spans="17:18" x14ac:dyDescent="0.35">
      <c r="Q153" t="s">
        <v>697</v>
      </c>
      <c r="R153" s="5">
        <f>YEAR(Table1[[#This Row],[Order Date]])</f>
        <v>2016</v>
      </c>
    </row>
    <row r="154" spans="17:18" x14ac:dyDescent="0.35">
      <c r="Q154" t="s">
        <v>1242</v>
      </c>
      <c r="R154" s="5">
        <f>YEAR(Table1[[#This Row],[Order Date]])</f>
        <v>2016</v>
      </c>
    </row>
    <row r="155" spans="17:18" x14ac:dyDescent="0.35">
      <c r="Q155" t="s">
        <v>1245</v>
      </c>
      <c r="R155" s="5">
        <f>YEAR(Table1[[#This Row],[Order Date]])</f>
        <v>2015</v>
      </c>
    </row>
    <row r="156" spans="17:18" x14ac:dyDescent="0.35">
      <c r="Q156" t="s">
        <v>1252</v>
      </c>
      <c r="R156" s="5">
        <f>YEAR(Table1[[#This Row],[Order Date]])</f>
        <v>2015</v>
      </c>
    </row>
    <row r="157" spans="17:18" x14ac:dyDescent="0.35">
      <c r="Q157" t="s">
        <v>1261</v>
      </c>
      <c r="R157" s="5">
        <f>YEAR(Table1[[#This Row],[Order Date]])</f>
        <v>2015</v>
      </c>
    </row>
    <row r="158" spans="17:18" x14ac:dyDescent="0.35">
      <c r="Q158" t="s">
        <v>821</v>
      </c>
      <c r="R158" s="5">
        <f>YEAR(Table1[[#This Row],[Order Date]])</f>
        <v>2015</v>
      </c>
    </row>
    <row r="159" spans="17:18" x14ac:dyDescent="0.35">
      <c r="Q159" t="s">
        <v>1273</v>
      </c>
      <c r="R159" s="5">
        <f>YEAR(Table1[[#This Row],[Order Date]])</f>
        <v>2014</v>
      </c>
    </row>
    <row r="160" spans="17:18" x14ac:dyDescent="0.35">
      <c r="Q160" t="s">
        <v>1281</v>
      </c>
      <c r="R160" s="5">
        <f>YEAR(Table1[[#This Row],[Order Date]])</f>
        <v>2016</v>
      </c>
    </row>
    <row r="161" spans="17:18" x14ac:dyDescent="0.35">
      <c r="Q161" t="s">
        <v>1290</v>
      </c>
      <c r="R161" s="5">
        <f>YEAR(Table1[[#This Row],[Order Date]])</f>
        <v>2016</v>
      </c>
    </row>
    <row r="162" spans="17:18" x14ac:dyDescent="0.35">
      <c r="Q162" t="s">
        <v>1294</v>
      </c>
      <c r="R162" s="5">
        <f>YEAR(Table1[[#This Row],[Order Date]])</f>
        <v>2016</v>
      </c>
    </row>
    <row r="163" spans="17:18" x14ac:dyDescent="0.35">
      <c r="Q163" t="s">
        <v>1304</v>
      </c>
      <c r="R163" s="5">
        <f>YEAR(Table1[[#This Row],[Order Date]])</f>
        <v>2015</v>
      </c>
    </row>
    <row r="164" spans="17:18" x14ac:dyDescent="0.35">
      <c r="Q164" t="s">
        <v>1312</v>
      </c>
      <c r="R164" s="5">
        <f>YEAR(Table1[[#This Row],[Order Date]])</f>
        <v>2016</v>
      </c>
    </row>
    <row r="165" spans="17:18" x14ac:dyDescent="0.35">
      <c r="Q165" t="s">
        <v>1322</v>
      </c>
      <c r="R165" s="5">
        <f>YEAR(Table1[[#This Row],[Order Date]])</f>
        <v>2016</v>
      </c>
    </row>
    <row r="166" spans="17:18" x14ac:dyDescent="0.35">
      <c r="Q166" t="s">
        <v>1328</v>
      </c>
      <c r="R166" s="5">
        <f>YEAR(Table1[[#This Row],[Order Date]])</f>
        <v>2014</v>
      </c>
    </row>
    <row r="167" spans="17:18" x14ac:dyDescent="0.35">
      <c r="Q167" t="s">
        <v>1333</v>
      </c>
      <c r="R167" s="5">
        <f>YEAR(Table1[[#This Row],[Order Date]])</f>
        <v>2014</v>
      </c>
    </row>
    <row r="168" spans="17:18" x14ac:dyDescent="0.35">
      <c r="Q168" t="s">
        <v>1342</v>
      </c>
      <c r="R168" s="5">
        <f>YEAR(Table1[[#This Row],[Order Date]])</f>
        <v>2014</v>
      </c>
    </row>
    <row r="169" spans="17:18" x14ac:dyDescent="0.35">
      <c r="Q169" t="s">
        <v>1349</v>
      </c>
      <c r="R169" s="5">
        <f>YEAR(Table1[[#This Row],[Order Date]])</f>
        <v>2014</v>
      </c>
    </row>
    <row r="170" spans="17:18" x14ac:dyDescent="0.35">
      <c r="Q170" t="s">
        <v>1354</v>
      </c>
      <c r="R170" s="5">
        <f>YEAR(Table1[[#This Row],[Order Date]])</f>
        <v>2014</v>
      </c>
    </row>
    <row r="171" spans="17:18" x14ac:dyDescent="0.35">
      <c r="Q171" t="s">
        <v>1362</v>
      </c>
      <c r="R171" s="5">
        <f>YEAR(Table1[[#This Row],[Order Date]])</f>
        <v>2014</v>
      </c>
    </row>
    <row r="172" spans="17:18" x14ac:dyDescent="0.35">
      <c r="Q172" t="s">
        <v>1369</v>
      </c>
      <c r="R172" s="5">
        <f>YEAR(Table1[[#This Row],[Order Date]])</f>
        <v>2014</v>
      </c>
    </row>
    <row r="173" spans="17:18" x14ac:dyDescent="0.35">
      <c r="Q173" t="s">
        <v>1374</v>
      </c>
      <c r="R173" s="5">
        <f>YEAR(Table1[[#This Row],[Order Date]])</f>
        <v>2014</v>
      </c>
    </row>
    <row r="174" spans="17:18" x14ac:dyDescent="0.35">
      <c r="Q174" t="s">
        <v>1379</v>
      </c>
      <c r="R174" s="5">
        <f>YEAR(Table1[[#This Row],[Order Date]])</f>
        <v>2014</v>
      </c>
    </row>
    <row r="175" spans="17:18" x14ac:dyDescent="0.35">
      <c r="Q175" t="s">
        <v>1387</v>
      </c>
      <c r="R175" s="5">
        <f>YEAR(Table1[[#This Row],[Order Date]])</f>
        <v>2014</v>
      </c>
    </row>
    <row r="176" spans="17:18" x14ac:dyDescent="0.35">
      <c r="Q176" t="s">
        <v>1393</v>
      </c>
      <c r="R176" s="5">
        <f>YEAR(Table1[[#This Row],[Order Date]])</f>
        <v>2014</v>
      </c>
    </row>
    <row r="177" spans="17:18" x14ac:dyDescent="0.35">
      <c r="Q177" t="s">
        <v>1400</v>
      </c>
      <c r="R177" s="5">
        <f>YEAR(Table1[[#This Row],[Order Date]])</f>
        <v>2014</v>
      </c>
    </row>
    <row r="178" spans="17:18" x14ac:dyDescent="0.35">
      <c r="Q178" t="s">
        <v>1412</v>
      </c>
      <c r="R178" s="5">
        <f>YEAR(Table1[[#This Row],[Order Date]])</f>
        <v>2017</v>
      </c>
    </row>
    <row r="179" spans="17:18" x14ac:dyDescent="0.35">
      <c r="Q179" t="s">
        <v>1421</v>
      </c>
      <c r="R179" s="5">
        <f>YEAR(Table1[[#This Row],[Order Date]])</f>
        <v>2015</v>
      </c>
    </row>
    <row r="180" spans="17:18" x14ac:dyDescent="0.35">
      <c r="Q180" t="s">
        <v>629</v>
      </c>
      <c r="R180" s="5">
        <f>YEAR(Table1[[#This Row],[Order Date]])</f>
        <v>2015</v>
      </c>
    </row>
    <row r="181" spans="17:18" x14ac:dyDescent="0.35">
      <c r="Q181" t="s">
        <v>1430</v>
      </c>
      <c r="R181" s="5">
        <f>YEAR(Table1[[#This Row],[Order Date]])</f>
        <v>2015</v>
      </c>
    </row>
    <row r="182" spans="17:18" x14ac:dyDescent="0.35">
      <c r="Q182" t="s">
        <v>1435</v>
      </c>
      <c r="R182" s="5">
        <f>YEAR(Table1[[#This Row],[Order Date]])</f>
        <v>2014</v>
      </c>
    </row>
    <row r="183" spans="17:18" x14ac:dyDescent="0.35">
      <c r="Q183" t="s">
        <v>1453</v>
      </c>
      <c r="R183" s="5">
        <f>YEAR(Table1[[#This Row],[Order Date]])</f>
        <v>2014</v>
      </c>
    </row>
    <row r="184" spans="17:18" x14ac:dyDescent="0.35">
      <c r="Q184" t="s">
        <v>1458</v>
      </c>
      <c r="R184" s="5">
        <f>YEAR(Table1[[#This Row],[Order Date]])</f>
        <v>2014</v>
      </c>
    </row>
    <row r="185" spans="17:18" x14ac:dyDescent="0.35">
      <c r="Q185" t="s">
        <v>1464</v>
      </c>
      <c r="R185" s="5">
        <f>YEAR(Table1[[#This Row],[Order Date]])</f>
        <v>2014</v>
      </c>
    </row>
    <row r="186" spans="17:18" x14ac:dyDescent="0.35">
      <c r="Q186" t="s">
        <v>1160</v>
      </c>
      <c r="R186" s="5">
        <f>YEAR(Table1[[#This Row],[Order Date]])</f>
        <v>2014</v>
      </c>
    </row>
    <row r="187" spans="17:18" x14ac:dyDescent="0.35">
      <c r="Q187" t="s">
        <v>1482</v>
      </c>
      <c r="R187" s="5">
        <f>YEAR(Table1[[#This Row],[Order Date]])</f>
        <v>2016</v>
      </c>
    </row>
    <row r="188" spans="17:18" x14ac:dyDescent="0.35">
      <c r="Q188" t="s">
        <v>1490</v>
      </c>
      <c r="R188" s="5">
        <f>YEAR(Table1[[#This Row],[Order Date]])</f>
        <v>2014</v>
      </c>
    </row>
    <row r="189" spans="17:18" x14ac:dyDescent="0.35">
      <c r="Q189" t="s">
        <v>264</v>
      </c>
      <c r="R189" s="5">
        <f>YEAR(Table1[[#This Row],[Order Date]])</f>
        <v>2016</v>
      </c>
    </row>
    <row r="190" spans="17:18" x14ac:dyDescent="0.35">
      <c r="Q190" t="s">
        <v>1502</v>
      </c>
      <c r="R190" s="5">
        <f>YEAR(Table1[[#This Row],[Order Date]])</f>
        <v>2016</v>
      </c>
    </row>
    <row r="191" spans="17:18" x14ac:dyDescent="0.35">
      <c r="Q191" t="s">
        <v>1508</v>
      </c>
      <c r="R191" s="5">
        <f>YEAR(Table1[[#This Row],[Order Date]])</f>
        <v>2015</v>
      </c>
    </row>
    <row r="192" spans="17:18" x14ac:dyDescent="0.35">
      <c r="Q192" t="s">
        <v>1513</v>
      </c>
      <c r="R192" s="5">
        <f>YEAR(Table1[[#This Row],[Order Date]])</f>
        <v>2015</v>
      </c>
    </row>
    <row r="193" spans="17:18" x14ac:dyDescent="0.35">
      <c r="Q193" t="s">
        <v>644</v>
      </c>
      <c r="R193" s="5">
        <f>YEAR(Table1[[#This Row],[Order Date]])</f>
        <v>2015</v>
      </c>
    </row>
    <row r="194" spans="17:18" x14ac:dyDescent="0.35">
      <c r="Q194" t="s">
        <v>1524</v>
      </c>
      <c r="R194" s="5">
        <f>YEAR(Table1[[#This Row],[Order Date]])</f>
        <v>2015</v>
      </c>
    </row>
    <row r="195" spans="17:18" x14ac:dyDescent="0.35">
      <c r="Q195" t="s">
        <v>1532</v>
      </c>
      <c r="R195" s="5">
        <f>YEAR(Table1[[#This Row],[Order Date]])</f>
        <v>2015</v>
      </c>
    </row>
    <row r="196" spans="17:18" x14ac:dyDescent="0.35">
      <c r="Q196" t="s">
        <v>1537</v>
      </c>
      <c r="R196" s="5">
        <f>YEAR(Table1[[#This Row],[Order Date]])</f>
        <v>2015</v>
      </c>
    </row>
    <row r="197" spans="17:18" x14ac:dyDescent="0.35">
      <c r="Q197" t="s">
        <v>111</v>
      </c>
      <c r="R197" s="5">
        <f>YEAR(Table1[[#This Row],[Order Date]])</f>
        <v>2014</v>
      </c>
    </row>
    <row r="198" spans="17:18" x14ac:dyDescent="0.35">
      <c r="Q198" t="s">
        <v>1558</v>
      </c>
      <c r="R198" s="5">
        <f>YEAR(Table1[[#This Row],[Order Date]])</f>
        <v>2014</v>
      </c>
    </row>
    <row r="199" spans="17:18" x14ac:dyDescent="0.35">
      <c r="Q199" t="s">
        <v>1563</v>
      </c>
      <c r="R199" s="5">
        <f>YEAR(Table1[[#This Row],[Order Date]])</f>
        <v>2017</v>
      </c>
    </row>
    <row r="200" spans="17:18" x14ac:dyDescent="0.35">
      <c r="Q200" t="s">
        <v>1579</v>
      </c>
      <c r="R200" s="5">
        <f>YEAR(Table1[[#This Row],[Order Date]])</f>
        <v>2017</v>
      </c>
    </row>
    <row r="201" spans="17:18" x14ac:dyDescent="0.35">
      <c r="Q201" t="s">
        <v>1508</v>
      </c>
      <c r="R201" s="5">
        <f>YEAR(Table1[[#This Row],[Order Date]])</f>
        <v>2017</v>
      </c>
    </row>
    <row r="202" spans="17:18" x14ac:dyDescent="0.35">
      <c r="Q202" t="s">
        <v>1588</v>
      </c>
      <c r="R202" s="5">
        <f>YEAR(Table1[[#This Row],[Order Date]])</f>
        <v>2017</v>
      </c>
    </row>
    <row r="203" spans="17:18" x14ac:dyDescent="0.35">
      <c r="Q203" t="s">
        <v>1490</v>
      </c>
      <c r="R203" s="5">
        <f>YEAR(Table1[[#This Row],[Order Date]])</f>
        <v>2014</v>
      </c>
    </row>
    <row r="204" spans="17:18" x14ac:dyDescent="0.35">
      <c r="Q204" t="s">
        <v>832</v>
      </c>
      <c r="R204" s="5">
        <f>YEAR(Table1[[#This Row],[Order Date]])</f>
        <v>2014</v>
      </c>
    </row>
    <row r="205" spans="17:18" x14ac:dyDescent="0.35">
      <c r="Q205" t="s">
        <v>1604</v>
      </c>
      <c r="R205" s="5">
        <f>YEAR(Table1[[#This Row],[Order Date]])</f>
        <v>2017</v>
      </c>
    </row>
    <row r="206" spans="17:18" x14ac:dyDescent="0.35">
      <c r="Q206" t="s">
        <v>1615</v>
      </c>
      <c r="R206" s="5">
        <f>YEAR(Table1[[#This Row],[Order Date]])</f>
        <v>2017</v>
      </c>
    </row>
    <row r="207" spans="17:18" x14ac:dyDescent="0.35">
      <c r="Q207" t="s">
        <v>880</v>
      </c>
      <c r="R207" s="5">
        <f>YEAR(Table1[[#This Row],[Order Date]])</f>
        <v>2017</v>
      </c>
    </row>
    <row r="208" spans="17:18" x14ac:dyDescent="0.35">
      <c r="Q208" t="s">
        <v>968</v>
      </c>
      <c r="R208" s="5">
        <f>YEAR(Table1[[#This Row],[Order Date]])</f>
        <v>2017</v>
      </c>
    </row>
    <row r="209" spans="17:18" x14ac:dyDescent="0.35">
      <c r="Q209" t="s">
        <v>1626</v>
      </c>
      <c r="R209" s="5">
        <f>YEAR(Table1[[#This Row],[Order Date]])</f>
        <v>2017</v>
      </c>
    </row>
    <row r="210" spans="17:18" x14ac:dyDescent="0.35">
      <c r="Q210" t="s">
        <v>1632</v>
      </c>
      <c r="R210" s="5">
        <f>YEAR(Table1[[#This Row],[Order Date]])</f>
        <v>2017</v>
      </c>
    </row>
    <row r="211" spans="17:18" x14ac:dyDescent="0.35">
      <c r="Q211" t="s">
        <v>1016</v>
      </c>
      <c r="R211" s="5">
        <f>YEAR(Table1[[#This Row],[Order Date]])</f>
        <v>2017</v>
      </c>
    </row>
    <row r="212" spans="17:18" x14ac:dyDescent="0.35">
      <c r="Q212" t="s">
        <v>1650</v>
      </c>
      <c r="R212" s="5">
        <f>YEAR(Table1[[#This Row],[Order Date]])</f>
        <v>2017</v>
      </c>
    </row>
    <row r="213" spans="17:18" x14ac:dyDescent="0.35">
      <c r="Q213" t="s">
        <v>1653</v>
      </c>
      <c r="R213" s="5">
        <f>YEAR(Table1[[#This Row],[Order Date]])</f>
        <v>2015</v>
      </c>
    </row>
    <row r="214" spans="17:18" x14ac:dyDescent="0.35">
      <c r="Q214" t="s">
        <v>1660</v>
      </c>
      <c r="R214" s="5">
        <f>YEAR(Table1[[#This Row],[Order Date]])</f>
        <v>2015</v>
      </c>
    </row>
    <row r="215" spans="17:18" x14ac:dyDescent="0.35">
      <c r="Q215" t="s">
        <v>1665</v>
      </c>
      <c r="R215" s="5">
        <f>YEAR(Table1[[#This Row],[Order Date]])</f>
        <v>2015</v>
      </c>
    </row>
    <row r="216" spans="17:18" x14ac:dyDescent="0.35">
      <c r="Q216" t="s">
        <v>1670</v>
      </c>
      <c r="R216" s="5">
        <f>YEAR(Table1[[#This Row],[Order Date]])</f>
        <v>2015</v>
      </c>
    </row>
    <row r="217" spans="17:18" x14ac:dyDescent="0.35">
      <c r="Q217" t="s">
        <v>1679</v>
      </c>
      <c r="R217" s="5">
        <f>YEAR(Table1[[#This Row],[Order Date]])</f>
        <v>2015</v>
      </c>
    </row>
    <row r="218" spans="17:18" x14ac:dyDescent="0.35">
      <c r="Q218" t="s">
        <v>1684</v>
      </c>
      <c r="R218" s="5">
        <f>YEAR(Table1[[#This Row],[Order Date]])</f>
        <v>2015</v>
      </c>
    </row>
    <row r="219" spans="17:18" x14ac:dyDescent="0.35">
      <c r="Q219" t="s">
        <v>1692</v>
      </c>
      <c r="R219" s="5">
        <f>YEAR(Table1[[#This Row],[Order Date]])</f>
        <v>2016</v>
      </c>
    </row>
    <row r="220" spans="17:18" x14ac:dyDescent="0.35">
      <c r="Q220" t="s">
        <v>1699</v>
      </c>
      <c r="R220" s="5">
        <f>YEAR(Table1[[#This Row],[Order Date]])</f>
        <v>2016</v>
      </c>
    </row>
    <row r="221" spans="17:18" x14ac:dyDescent="0.35">
      <c r="Q221" t="s">
        <v>1704</v>
      </c>
      <c r="R221" s="5">
        <f>YEAR(Table1[[#This Row],[Order Date]])</f>
        <v>2015</v>
      </c>
    </row>
    <row r="222" spans="17:18" x14ac:dyDescent="0.35">
      <c r="Q222" t="s">
        <v>1709</v>
      </c>
      <c r="R222" s="5">
        <f>YEAR(Table1[[#This Row],[Order Date]])</f>
        <v>2015</v>
      </c>
    </row>
    <row r="223" spans="17:18" x14ac:dyDescent="0.35">
      <c r="Q223" t="s">
        <v>1588</v>
      </c>
      <c r="R223" s="5">
        <f>YEAR(Table1[[#This Row],[Order Date]])</f>
        <v>2015</v>
      </c>
    </row>
    <row r="224" spans="17:18" x14ac:dyDescent="0.35">
      <c r="R224"/>
    </row>
    <row r="225" spans="18:18" x14ac:dyDescent="0.35">
      <c r="R225"/>
    </row>
    <row r="226" spans="18:18" x14ac:dyDescent="0.35">
      <c r="R226"/>
    </row>
    <row r="227" spans="18:18" x14ac:dyDescent="0.35">
      <c r="R227"/>
    </row>
    <row r="228" spans="18:18" x14ac:dyDescent="0.35">
      <c r="R228"/>
    </row>
    <row r="229" spans="18:18" x14ac:dyDescent="0.35">
      <c r="R229"/>
    </row>
    <row r="230" spans="18:18" x14ac:dyDescent="0.35">
      <c r="R230"/>
    </row>
    <row r="231" spans="18:18" x14ac:dyDescent="0.35">
      <c r="R231"/>
    </row>
    <row r="232" spans="18:18" x14ac:dyDescent="0.35">
      <c r="R232"/>
    </row>
    <row r="233" spans="18:18" x14ac:dyDescent="0.35">
      <c r="R233"/>
    </row>
    <row r="234" spans="18:18" x14ac:dyDescent="0.35">
      <c r="R234"/>
    </row>
    <row r="235" spans="18:18" x14ac:dyDescent="0.35">
      <c r="R235"/>
    </row>
    <row r="236" spans="18:18" x14ac:dyDescent="0.35">
      <c r="R236"/>
    </row>
    <row r="237" spans="18:18" x14ac:dyDescent="0.35">
      <c r="R237"/>
    </row>
    <row r="238" spans="18:18" x14ac:dyDescent="0.35">
      <c r="R238"/>
    </row>
    <row r="239" spans="18:18" x14ac:dyDescent="0.35">
      <c r="R239"/>
    </row>
    <row r="240" spans="18:18" x14ac:dyDescent="0.35">
      <c r="R240"/>
    </row>
    <row r="241" spans="18:18" x14ac:dyDescent="0.35">
      <c r="R241"/>
    </row>
    <row r="242" spans="18:18" x14ac:dyDescent="0.35">
      <c r="R242"/>
    </row>
    <row r="243" spans="18:18" x14ac:dyDescent="0.35">
      <c r="R243"/>
    </row>
    <row r="244" spans="18:18" x14ac:dyDescent="0.35">
      <c r="R244"/>
    </row>
    <row r="245" spans="18:18" x14ac:dyDescent="0.35">
      <c r="R245"/>
    </row>
    <row r="246" spans="18:18" x14ac:dyDescent="0.35">
      <c r="R246"/>
    </row>
    <row r="247" spans="18:18" x14ac:dyDescent="0.35">
      <c r="R247"/>
    </row>
    <row r="248" spans="18:18" x14ac:dyDescent="0.35">
      <c r="R248"/>
    </row>
    <row r="249" spans="18:18" x14ac:dyDescent="0.35">
      <c r="R249"/>
    </row>
    <row r="250" spans="18:18" x14ac:dyDescent="0.35">
      <c r="R250"/>
    </row>
    <row r="251" spans="18:18" x14ac:dyDescent="0.35">
      <c r="R251"/>
    </row>
    <row r="252" spans="18:18" x14ac:dyDescent="0.35">
      <c r="R252"/>
    </row>
    <row r="253" spans="18:18" x14ac:dyDescent="0.35">
      <c r="R253"/>
    </row>
    <row r="254" spans="18:18" x14ac:dyDescent="0.35">
      <c r="R254"/>
    </row>
    <row r="255" spans="18:18" x14ac:dyDescent="0.35">
      <c r="R255"/>
    </row>
    <row r="256" spans="18:18" x14ac:dyDescent="0.35">
      <c r="R256"/>
    </row>
    <row r="257" spans="18:18" x14ac:dyDescent="0.35">
      <c r="R257"/>
    </row>
    <row r="258" spans="18:18" x14ac:dyDescent="0.35">
      <c r="R258"/>
    </row>
    <row r="259" spans="18:18" x14ac:dyDescent="0.35">
      <c r="R259"/>
    </row>
    <row r="260" spans="18:18" x14ac:dyDescent="0.35">
      <c r="R260"/>
    </row>
    <row r="261" spans="18:18" x14ac:dyDescent="0.35">
      <c r="R261"/>
    </row>
    <row r="262" spans="18:18" x14ac:dyDescent="0.35">
      <c r="R262"/>
    </row>
    <row r="263" spans="18:18" x14ac:dyDescent="0.35">
      <c r="R263"/>
    </row>
    <row r="264" spans="18:18" x14ac:dyDescent="0.35">
      <c r="R264"/>
    </row>
    <row r="265" spans="18:18" x14ac:dyDescent="0.35">
      <c r="R265"/>
    </row>
    <row r="266" spans="18:18" x14ac:dyDescent="0.35">
      <c r="R266"/>
    </row>
    <row r="267" spans="18:18" x14ac:dyDescent="0.35">
      <c r="R267"/>
    </row>
    <row r="268" spans="18:18" x14ac:dyDescent="0.35">
      <c r="R268"/>
    </row>
    <row r="269" spans="18:18" x14ac:dyDescent="0.35">
      <c r="R269"/>
    </row>
    <row r="270" spans="18:18" x14ac:dyDescent="0.35">
      <c r="R270"/>
    </row>
    <row r="271" spans="18:18" x14ac:dyDescent="0.35">
      <c r="R271"/>
    </row>
    <row r="272" spans="18:18" x14ac:dyDescent="0.35">
      <c r="R272"/>
    </row>
    <row r="273" spans="18:18" x14ac:dyDescent="0.35">
      <c r="R273"/>
    </row>
    <row r="274" spans="18:18" x14ac:dyDescent="0.35">
      <c r="R274"/>
    </row>
    <row r="275" spans="18:18" x14ac:dyDescent="0.35">
      <c r="R275"/>
    </row>
    <row r="276" spans="18:18" x14ac:dyDescent="0.35">
      <c r="R276"/>
    </row>
    <row r="277" spans="18:18" x14ac:dyDescent="0.35">
      <c r="R277"/>
    </row>
    <row r="278" spans="18:18" x14ac:dyDescent="0.35">
      <c r="R278"/>
    </row>
    <row r="279" spans="18:18" x14ac:dyDescent="0.35">
      <c r="R279"/>
    </row>
    <row r="280" spans="18:18" x14ac:dyDescent="0.35">
      <c r="R280"/>
    </row>
    <row r="281" spans="18:18" x14ac:dyDescent="0.35">
      <c r="R281"/>
    </row>
    <row r="282" spans="18:18" x14ac:dyDescent="0.35">
      <c r="R282"/>
    </row>
    <row r="283" spans="18:18" x14ac:dyDescent="0.35">
      <c r="R283"/>
    </row>
    <row r="284" spans="18:18" x14ac:dyDescent="0.35">
      <c r="R284"/>
    </row>
    <row r="285" spans="18:18" x14ac:dyDescent="0.35">
      <c r="R285"/>
    </row>
    <row r="286" spans="18:18" x14ac:dyDescent="0.35">
      <c r="R286"/>
    </row>
    <row r="287" spans="18:18" x14ac:dyDescent="0.35">
      <c r="R287"/>
    </row>
    <row r="288" spans="18:18" x14ac:dyDescent="0.35">
      <c r="R288"/>
    </row>
    <row r="289" spans="18:18" x14ac:dyDescent="0.35">
      <c r="R289"/>
    </row>
    <row r="290" spans="18:18" x14ac:dyDescent="0.35">
      <c r="R290"/>
    </row>
    <row r="291" spans="18:18" x14ac:dyDescent="0.35">
      <c r="R291"/>
    </row>
    <row r="292" spans="18:18" x14ac:dyDescent="0.35">
      <c r="R292"/>
    </row>
    <row r="293" spans="18:18" x14ac:dyDescent="0.35">
      <c r="R293"/>
    </row>
    <row r="294" spans="18:18" x14ac:dyDescent="0.35">
      <c r="R294"/>
    </row>
    <row r="295" spans="18:18" x14ac:dyDescent="0.35">
      <c r="R295"/>
    </row>
    <row r="296" spans="18:18" x14ac:dyDescent="0.35">
      <c r="R296"/>
    </row>
    <row r="297" spans="18:18" x14ac:dyDescent="0.35">
      <c r="R297"/>
    </row>
    <row r="298" spans="18:18" x14ac:dyDescent="0.35">
      <c r="R298"/>
    </row>
    <row r="299" spans="18:18" x14ac:dyDescent="0.35">
      <c r="R299"/>
    </row>
    <row r="300" spans="18:18" x14ac:dyDescent="0.35">
      <c r="R300"/>
    </row>
    <row r="301" spans="18:18" x14ac:dyDescent="0.35">
      <c r="R301"/>
    </row>
    <row r="302" spans="18:18" x14ac:dyDescent="0.35">
      <c r="R302"/>
    </row>
    <row r="303" spans="18:18" x14ac:dyDescent="0.35">
      <c r="R303"/>
    </row>
    <row r="304" spans="18:18" x14ac:dyDescent="0.35">
      <c r="R304"/>
    </row>
    <row r="305" spans="18:18" x14ac:dyDescent="0.35">
      <c r="R305"/>
    </row>
    <row r="306" spans="18:18" x14ac:dyDescent="0.35">
      <c r="R306"/>
    </row>
    <row r="307" spans="18:18" x14ac:dyDescent="0.35">
      <c r="R307"/>
    </row>
    <row r="308" spans="18:18" x14ac:dyDescent="0.35">
      <c r="R308"/>
    </row>
    <row r="309" spans="18:18" x14ac:dyDescent="0.35">
      <c r="R309"/>
    </row>
    <row r="310" spans="18:18" x14ac:dyDescent="0.35">
      <c r="R310"/>
    </row>
    <row r="311" spans="18:18" x14ac:dyDescent="0.35">
      <c r="R311"/>
    </row>
    <row r="312" spans="18:18" x14ac:dyDescent="0.35">
      <c r="R312"/>
    </row>
    <row r="313" spans="18:18" x14ac:dyDescent="0.35">
      <c r="R313"/>
    </row>
    <row r="314" spans="18:18" x14ac:dyDescent="0.35">
      <c r="R314"/>
    </row>
    <row r="315" spans="18:18" x14ac:dyDescent="0.35">
      <c r="R315"/>
    </row>
    <row r="316" spans="18:18" x14ac:dyDescent="0.35">
      <c r="R316"/>
    </row>
    <row r="317" spans="18:18" x14ac:dyDescent="0.35">
      <c r="R317"/>
    </row>
    <row r="318" spans="18:18" x14ac:dyDescent="0.35">
      <c r="R318"/>
    </row>
    <row r="319" spans="18:18" x14ac:dyDescent="0.35">
      <c r="R319"/>
    </row>
    <row r="320" spans="18:18" x14ac:dyDescent="0.35">
      <c r="R320"/>
    </row>
    <row r="321" spans="18:18" x14ac:dyDescent="0.35">
      <c r="R321"/>
    </row>
    <row r="322" spans="18:18" x14ac:dyDescent="0.35">
      <c r="R322"/>
    </row>
    <row r="323" spans="18:18" x14ac:dyDescent="0.35">
      <c r="R323"/>
    </row>
    <row r="324" spans="18:18" x14ac:dyDescent="0.35">
      <c r="R324"/>
    </row>
    <row r="325" spans="18:18" x14ac:dyDescent="0.35">
      <c r="R325"/>
    </row>
    <row r="326" spans="18:18" x14ac:dyDescent="0.35">
      <c r="R326"/>
    </row>
    <row r="327" spans="18:18" x14ac:dyDescent="0.35">
      <c r="R327"/>
    </row>
    <row r="328" spans="18:18" x14ac:dyDescent="0.35">
      <c r="R328"/>
    </row>
    <row r="329" spans="18:18" x14ac:dyDescent="0.35">
      <c r="R329"/>
    </row>
    <row r="330" spans="18:18" x14ac:dyDescent="0.35">
      <c r="R330"/>
    </row>
    <row r="331" spans="18:18" x14ac:dyDescent="0.35">
      <c r="R331"/>
    </row>
    <row r="332" spans="18:18" x14ac:dyDescent="0.35">
      <c r="R332"/>
    </row>
    <row r="333" spans="18:18" x14ac:dyDescent="0.35">
      <c r="R333"/>
    </row>
    <row r="334" spans="18:18" x14ac:dyDescent="0.35">
      <c r="R334"/>
    </row>
    <row r="335" spans="18:18" x14ac:dyDescent="0.35">
      <c r="R335"/>
    </row>
    <row r="336" spans="18:18" x14ac:dyDescent="0.35">
      <c r="R336"/>
    </row>
    <row r="337" spans="18:18" x14ac:dyDescent="0.35">
      <c r="R337"/>
    </row>
    <row r="338" spans="18:18" x14ac:dyDescent="0.35">
      <c r="R338"/>
    </row>
    <row r="339" spans="18:18" x14ac:dyDescent="0.35">
      <c r="R339"/>
    </row>
    <row r="340" spans="18:18" x14ac:dyDescent="0.35">
      <c r="R340"/>
    </row>
    <row r="341" spans="18:18" x14ac:dyDescent="0.35">
      <c r="R341"/>
    </row>
    <row r="342" spans="18:18" x14ac:dyDescent="0.35">
      <c r="R342"/>
    </row>
    <row r="343" spans="18:18" x14ac:dyDescent="0.35">
      <c r="R343"/>
    </row>
    <row r="344" spans="18:18" x14ac:dyDescent="0.35">
      <c r="R344"/>
    </row>
    <row r="345" spans="18:18" x14ac:dyDescent="0.35">
      <c r="R345"/>
    </row>
    <row r="346" spans="18:18" x14ac:dyDescent="0.35">
      <c r="R346"/>
    </row>
    <row r="347" spans="18:18" x14ac:dyDescent="0.35">
      <c r="R347"/>
    </row>
    <row r="348" spans="18:18" x14ac:dyDescent="0.35">
      <c r="R348"/>
    </row>
    <row r="349" spans="18:18" x14ac:dyDescent="0.35">
      <c r="R349"/>
    </row>
    <row r="350" spans="18:18" x14ac:dyDescent="0.35">
      <c r="R350"/>
    </row>
    <row r="351" spans="18:18" x14ac:dyDescent="0.35">
      <c r="R351"/>
    </row>
    <row r="352" spans="18:18" x14ac:dyDescent="0.35">
      <c r="R352"/>
    </row>
    <row r="353" spans="18:18" x14ac:dyDescent="0.35">
      <c r="R353"/>
    </row>
    <row r="354" spans="18:18" x14ac:dyDescent="0.35">
      <c r="R354"/>
    </row>
    <row r="355" spans="18:18" x14ac:dyDescent="0.35">
      <c r="R355"/>
    </row>
    <row r="356" spans="18:18" x14ac:dyDescent="0.35">
      <c r="R356"/>
    </row>
    <row r="357" spans="18:18" x14ac:dyDescent="0.35">
      <c r="R357"/>
    </row>
    <row r="358" spans="18:18" x14ac:dyDescent="0.35">
      <c r="R358"/>
    </row>
    <row r="359" spans="18:18" x14ac:dyDescent="0.35">
      <c r="R359"/>
    </row>
    <row r="360" spans="18:18" x14ac:dyDescent="0.35">
      <c r="R360"/>
    </row>
    <row r="361" spans="18:18" x14ac:dyDescent="0.35">
      <c r="R361"/>
    </row>
    <row r="362" spans="18:18" x14ac:dyDescent="0.35">
      <c r="R362"/>
    </row>
    <row r="363" spans="18:18" x14ac:dyDescent="0.35">
      <c r="R363"/>
    </row>
    <row r="364" spans="18:18" x14ac:dyDescent="0.35">
      <c r="R364"/>
    </row>
    <row r="365" spans="18:18" x14ac:dyDescent="0.35">
      <c r="R365"/>
    </row>
    <row r="366" spans="18:18" x14ac:dyDescent="0.35">
      <c r="R366"/>
    </row>
    <row r="367" spans="18:18" x14ac:dyDescent="0.35">
      <c r="R367"/>
    </row>
    <row r="368" spans="18:18" x14ac:dyDescent="0.35">
      <c r="R368"/>
    </row>
    <row r="369" spans="18:18" x14ac:dyDescent="0.35">
      <c r="R369"/>
    </row>
    <row r="370" spans="18:18" x14ac:dyDescent="0.35">
      <c r="R370"/>
    </row>
    <row r="371" spans="18:18" x14ac:dyDescent="0.35">
      <c r="R371"/>
    </row>
    <row r="372" spans="18:18" x14ac:dyDescent="0.35">
      <c r="R372"/>
    </row>
    <row r="373" spans="18:18" x14ac:dyDescent="0.35">
      <c r="R373"/>
    </row>
    <row r="374" spans="18:18" x14ac:dyDescent="0.35">
      <c r="R374"/>
    </row>
    <row r="375" spans="18:18" x14ac:dyDescent="0.35">
      <c r="R375"/>
    </row>
    <row r="376" spans="18:18" x14ac:dyDescent="0.35">
      <c r="R376"/>
    </row>
    <row r="377" spans="18:18" x14ac:dyDescent="0.35">
      <c r="R377"/>
    </row>
    <row r="378" spans="18:18" x14ac:dyDescent="0.35">
      <c r="R378"/>
    </row>
    <row r="379" spans="18:18" x14ac:dyDescent="0.35">
      <c r="R379"/>
    </row>
    <row r="380" spans="18:18" x14ac:dyDescent="0.35">
      <c r="R380"/>
    </row>
    <row r="381" spans="18:18" x14ac:dyDescent="0.35">
      <c r="R381"/>
    </row>
    <row r="382" spans="18:18" x14ac:dyDescent="0.35">
      <c r="R382"/>
    </row>
    <row r="383" spans="18:18" x14ac:dyDescent="0.35">
      <c r="R383"/>
    </row>
    <row r="384" spans="18:18" x14ac:dyDescent="0.35">
      <c r="R384"/>
    </row>
    <row r="385" spans="18:18" x14ac:dyDescent="0.35">
      <c r="R385"/>
    </row>
    <row r="386" spans="18:18" x14ac:dyDescent="0.35">
      <c r="R386"/>
    </row>
    <row r="387" spans="18:18" x14ac:dyDescent="0.35">
      <c r="R387"/>
    </row>
    <row r="388" spans="18:18" x14ac:dyDescent="0.35">
      <c r="R388"/>
    </row>
    <row r="389" spans="18:18" x14ac:dyDescent="0.35">
      <c r="R389"/>
    </row>
    <row r="390" spans="18:18" x14ac:dyDescent="0.35">
      <c r="R390"/>
    </row>
    <row r="391" spans="18:18" x14ac:dyDescent="0.35">
      <c r="R391"/>
    </row>
    <row r="392" spans="18:18" x14ac:dyDescent="0.35">
      <c r="R392"/>
    </row>
    <row r="393" spans="18:18" x14ac:dyDescent="0.35">
      <c r="R393"/>
    </row>
    <row r="394" spans="18:18" x14ac:dyDescent="0.35">
      <c r="R394"/>
    </row>
    <row r="395" spans="18:18" x14ac:dyDescent="0.35">
      <c r="R395"/>
    </row>
    <row r="396" spans="18:18" x14ac:dyDescent="0.35">
      <c r="R396"/>
    </row>
    <row r="397" spans="18:18" x14ac:dyDescent="0.35">
      <c r="R397"/>
    </row>
    <row r="398" spans="18:18" x14ac:dyDescent="0.35">
      <c r="R398"/>
    </row>
    <row r="399" spans="18:18" x14ac:dyDescent="0.35">
      <c r="R399"/>
    </row>
    <row r="400" spans="18:18" x14ac:dyDescent="0.35">
      <c r="R400"/>
    </row>
    <row r="401" spans="18:18" x14ac:dyDescent="0.35">
      <c r="R401"/>
    </row>
    <row r="402" spans="18:18" x14ac:dyDescent="0.35">
      <c r="R402"/>
    </row>
    <row r="403" spans="18:18" x14ac:dyDescent="0.35">
      <c r="R403"/>
    </row>
    <row r="404" spans="18:18" x14ac:dyDescent="0.35">
      <c r="R404"/>
    </row>
    <row r="405" spans="18:18" x14ac:dyDescent="0.35">
      <c r="R405"/>
    </row>
    <row r="406" spans="18:18" x14ac:dyDescent="0.35">
      <c r="R406"/>
    </row>
    <row r="407" spans="18:18" x14ac:dyDescent="0.35">
      <c r="R407"/>
    </row>
    <row r="408" spans="18:18" x14ac:dyDescent="0.35">
      <c r="R408"/>
    </row>
    <row r="409" spans="18:18" x14ac:dyDescent="0.35">
      <c r="R409"/>
    </row>
    <row r="410" spans="18:18" x14ac:dyDescent="0.35">
      <c r="R410"/>
    </row>
    <row r="411" spans="18:18" x14ac:dyDescent="0.35">
      <c r="R411"/>
    </row>
    <row r="412" spans="18:18" x14ac:dyDescent="0.35">
      <c r="R412"/>
    </row>
    <row r="413" spans="18:18" x14ac:dyDescent="0.35">
      <c r="R413"/>
    </row>
    <row r="414" spans="18:18" x14ac:dyDescent="0.35">
      <c r="R414"/>
    </row>
    <row r="415" spans="18:18" x14ac:dyDescent="0.35">
      <c r="R415"/>
    </row>
    <row r="416" spans="18:18" x14ac:dyDescent="0.35">
      <c r="R416"/>
    </row>
    <row r="417" spans="18:18" x14ac:dyDescent="0.35">
      <c r="R417"/>
    </row>
    <row r="418" spans="18:18" x14ac:dyDescent="0.35">
      <c r="R418"/>
    </row>
    <row r="419" spans="18:18" x14ac:dyDescent="0.35">
      <c r="R419"/>
    </row>
    <row r="420" spans="18:18" x14ac:dyDescent="0.35">
      <c r="R420"/>
    </row>
    <row r="421" spans="18:18" x14ac:dyDescent="0.35">
      <c r="R421"/>
    </row>
    <row r="422" spans="18:18" x14ac:dyDescent="0.35">
      <c r="R422"/>
    </row>
    <row r="423" spans="18:18" x14ac:dyDescent="0.35">
      <c r="R423"/>
    </row>
    <row r="424" spans="18:18" x14ac:dyDescent="0.35">
      <c r="R424"/>
    </row>
    <row r="425" spans="18:18" x14ac:dyDescent="0.35">
      <c r="R425"/>
    </row>
    <row r="426" spans="18:18" x14ac:dyDescent="0.35">
      <c r="R426"/>
    </row>
    <row r="427" spans="18:18" x14ac:dyDescent="0.35">
      <c r="R427"/>
    </row>
    <row r="428" spans="18:18" x14ac:dyDescent="0.35">
      <c r="R428"/>
    </row>
    <row r="429" spans="18:18" x14ac:dyDescent="0.35">
      <c r="R429"/>
    </row>
    <row r="430" spans="18:18" x14ac:dyDescent="0.35">
      <c r="R430"/>
    </row>
    <row r="431" spans="18:18" x14ac:dyDescent="0.35">
      <c r="R431"/>
    </row>
    <row r="432" spans="18:18" x14ac:dyDescent="0.35">
      <c r="R432"/>
    </row>
    <row r="433" spans="18:18" x14ac:dyDescent="0.35">
      <c r="R433"/>
    </row>
    <row r="434" spans="18:18" x14ac:dyDescent="0.35">
      <c r="R434"/>
    </row>
    <row r="435" spans="18:18" x14ac:dyDescent="0.35">
      <c r="R435"/>
    </row>
    <row r="436" spans="18:18" x14ac:dyDescent="0.35">
      <c r="R436"/>
    </row>
    <row r="437" spans="18:18" x14ac:dyDescent="0.35">
      <c r="R437"/>
    </row>
    <row r="438" spans="18:18" x14ac:dyDescent="0.35">
      <c r="R438"/>
    </row>
    <row r="439" spans="18:18" x14ac:dyDescent="0.35">
      <c r="R439"/>
    </row>
    <row r="440" spans="18:18" x14ac:dyDescent="0.35">
      <c r="R440"/>
    </row>
    <row r="441" spans="18:18" x14ac:dyDescent="0.35">
      <c r="R441"/>
    </row>
    <row r="442" spans="18:18" x14ac:dyDescent="0.35">
      <c r="R442"/>
    </row>
    <row r="443" spans="18:18" x14ac:dyDescent="0.35">
      <c r="R443"/>
    </row>
    <row r="444" spans="18:18" x14ac:dyDescent="0.35">
      <c r="R444"/>
    </row>
    <row r="445" spans="18:18" x14ac:dyDescent="0.35">
      <c r="R445"/>
    </row>
    <row r="446" spans="18:18" x14ac:dyDescent="0.35">
      <c r="R446"/>
    </row>
    <row r="447" spans="18:18" x14ac:dyDescent="0.35">
      <c r="R447"/>
    </row>
    <row r="448" spans="18:18" x14ac:dyDescent="0.35">
      <c r="R448"/>
    </row>
    <row r="449" spans="18:18" x14ac:dyDescent="0.35">
      <c r="R449"/>
    </row>
    <row r="450" spans="18:18" x14ac:dyDescent="0.35">
      <c r="R450"/>
    </row>
    <row r="451" spans="18:18" x14ac:dyDescent="0.35">
      <c r="R451"/>
    </row>
    <row r="452" spans="18:18" x14ac:dyDescent="0.35">
      <c r="R452"/>
    </row>
    <row r="453" spans="18:18" x14ac:dyDescent="0.35">
      <c r="R453"/>
    </row>
    <row r="454" spans="18:18" x14ac:dyDescent="0.35">
      <c r="R454"/>
    </row>
    <row r="455" spans="18:18" x14ac:dyDescent="0.35">
      <c r="R455"/>
    </row>
    <row r="456" spans="18:18" x14ac:dyDescent="0.35">
      <c r="R456"/>
    </row>
    <row r="457" spans="18:18" x14ac:dyDescent="0.35">
      <c r="R457"/>
    </row>
    <row r="458" spans="18:18" x14ac:dyDescent="0.35">
      <c r="R458"/>
    </row>
    <row r="459" spans="18:18" x14ac:dyDescent="0.35">
      <c r="R459"/>
    </row>
    <row r="460" spans="18:18" x14ac:dyDescent="0.35">
      <c r="R460"/>
    </row>
    <row r="461" spans="18:18" x14ac:dyDescent="0.35">
      <c r="R461"/>
    </row>
    <row r="462" spans="18:18" x14ac:dyDescent="0.35">
      <c r="R462"/>
    </row>
    <row r="463" spans="18:18" x14ac:dyDescent="0.35">
      <c r="R463"/>
    </row>
    <row r="464" spans="18:18" x14ac:dyDescent="0.35">
      <c r="R464"/>
    </row>
    <row r="465" spans="18:18" x14ac:dyDescent="0.35">
      <c r="R465"/>
    </row>
    <row r="466" spans="18:18" x14ac:dyDescent="0.35">
      <c r="R466"/>
    </row>
    <row r="467" spans="18:18" x14ac:dyDescent="0.35">
      <c r="R467"/>
    </row>
    <row r="468" spans="18:18" x14ac:dyDescent="0.35">
      <c r="R468"/>
    </row>
    <row r="469" spans="18:18" x14ac:dyDescent="0.35">
      <c r="R469"/>
    </row>
    <row r="470" spans="18:18" x14ac:dyDescent="0.35">
      <c r="R470"/>
    </row>
    <row r="471" spans="18:18" x14ac:dyDescent="0.35">
      <c r="R471"/>
    </row>
    <row r="472" spans="18:18" x14ac:dyDescent="0.35">
      <c r="R472"/>
    </row>
    <row r="473" spans="18:18" x14ac:dyDescent="0.35">
      <c r="R473"/>
    </row>
    <row r="474" spans="18:18" x14ac:dyDescent="0.35">
      <c r="R474"/>
    </row>
    <row r="475" spans="18:18" x14ac:dyDescent="0.35">
      <c r="R475"/>
    </row>
    <row r="476" spans="18:18" x14ac:dyDescent="0.35">
      <c r="R476"/>
    </row>
    <row r="477" spans="18:18" x14ac:dyDescent="0.35">
      <c r="R477"/>
    </row>
    <row r="478" spans="18:18" x14ac:dyDescent="0.35">
      <c r="R478"/>
    </row>
    <row r="479" spans="18:18" x14ac:dyDescent="0.35">
      <c r="R479"/>
    </row>
    <row r="480" spans="18:18" x14ac:dyDescent="0.35">
      <c r="R480"/>
    </row>
    <row r="481" spans="18:18" x14ac:dyDescent="0.35">
      <c r="R481"/>
    </row>
    <row r="482" spans="18:18" x14ac:dyDescent="0.35">
      <c r="R482"/>
    </row>
    <row r="483" spans="18:18" x14ac:dyDescent="0.35">
      <c r="R483"/>
    </row>
    <row r="484" spans="18:18" x14ac:dyDescent="0.35">
      <c r="R484"/>
    </row>
    <row r="485" spans="18:18" x14ac:dyDescent="0.35">
      <c r="R485"/>
    </row>
    <row r="486" spans="18:18" x14ac:dyDescent="0.35">
      <c r="R486"/>
    </row>
    <row r="487" spans="18:18" x14ac:dyDescent="0.35">
      <c r="R487"/>
    </row>
    <row r="488" spans="18:18" x14ac:dyDescent="0.35">
      <c r="R488"/>
    </row>
    <row r="489" spans="18:18" x14ac:dyDescent="0.35">
      <c r="R489"/>
    </row>
    <row r="490" spans="18:18" x14ac:dyDescent="0.35">
      <c r="R490"/>
    </row>
    <row r="491" spans="18:18" x14ac:dyDescent="0.35">
      <c r="R491"/>
    </row>
    <row r="492" spans="18:18" x14ac:dyDescent="0.35">
      <c r="R492"/>
    </row>
    <row r="493" spans="18:18" x14ac:dyDescent="0.35">
      <c r="R493"/>
    </row>
    <row r="494" spans="18:18" x14ac:dyDescent="0.35">
      <c r="R494"/>
    </row>
    <row r="495" spans="18:18" x14ac:dyDescent="0.35">
      <c r="R495"/>
    </row>
    <row r="496" spans="18:18" x14ac:dyDescent="0.35">
      <c r="R496"/>
    </row>
    <row r="497" spans="18:18" x14ac:dyDescent="0.35">
      <c r="R497"/>
    </row>
    <row r="498" spans="18:18" x14ac:dyDescent="0.35">
      <c r="R498"/>
    </row>
    <row r="499" spans="18:18" x14ac:dyDescent="0.35">
      <c r="R499"/>
    </row>
    <row r="500" spans="18:18" x14ac:dyDescent="0.35">
      <c r="R500"/>
    </row>
    <row r="501" spans="18:18" x14ac:dyDescent="0.35">
      <c r="R50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1C786E-82B7-45EC-9CD7-1AC9013C5F0A}">
  <sheetPr codeName="Sheet3"/>
  <dimension ref="X8"/>
  <sheetViews>
    <sheetView showGridLines="0" tabSelected="1" topLeftCell="A4" zoomScaleNormal="100" workbookViewId="0">
      <selection activeCell="V40" sqref="V40"/>
    </sheetView>
  </sheetViews>
  <sheetFormatPr defaultRowHeight="14.5" x14ac:dyDescent="0.35"/>
  <sheetData>
    <row r="8" spans="24:24" x14ac:dyDescent="0.35">
      <c r="X8" s="1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TABLE </vt:lpstr>
      <vt:lpstr>DASHBOARD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Vinutha shree N</dc:creator>
  <cp:lastModifiedBy>Vinutha shree N</cp:lastModifiedBy>
  <dcterms:created xsi:type="dcterms:W3CDTF">2025-11-08T06:45:39Z</dcterms:created>
  <dcterms:modified xsi:type="dcterms:W3CDTF">2025-11-09T06:27:59Z</dcterms:modified>
</cp:coreProperties>
</file>